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rrent DAG Overview" sheetId="1" state="visible" r:id="rId3"/>
    <sheet name="Combination Analysis" sheetId="2" state="visible" r:id="rId4"/>
    <sheet name="Timeline View" sheetId="3" state="visible" r:id="rId5"/>
    <sheet name="Table Details" sheetId="4" state="visible" r:id="rId6"/>
    <sheet name="★ Recommendati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<sst xmlns="http://schemas.openxmlformats.org/spreadsheetml/2006/main" count="538" uniqueCount="280">
  <si>
    <t xml:space="preserve">CBS DC-DR Sync — Current DAG Overview</t>
  </si>
  <si>
    <t xml:space="preserve">Tables within each DAG run sequentially. Sum of Avg Time = total sequential execution time.</t>
  </si>
  <si>
    <t xml:space="preserve">DAG</t>
  </si>
  <si>
    <t xml:space="preserve">Job ID</t>
  </si>
  <si>
    <t xml:space="preserve">Job Name</t>
  </si>
  <si>
    <t xml:space="preserve">Schedule</t>
  </si>
  <si>
    <t xml:space="preserve"># Tables</t>
  </si>
  <si>
    <t xml:space="preserve">Sum Avg Time (min)</t>
  </si>
  <si>
    <t xml:space="preserve">Max Table (min)</t>
  </si>
  <si>
    <t xml:space="preserve">Actual Observed (min)</t>
  </si>
  <si>
    <t xml:space="preserve">Avg/Table (min)</t>
  </si>
  <si>
    <t xml:space="preserve">P0</t>
  </si>
  <si>
    <t xml:space="preserve">1546426061</t>
  </si>
  <si>
    <t xml:space="preserve">idp_ingestion_cbs_p0</t>
  </si>
  <si>
    <t xml:space="preserve">10:15 AM</t>
  </si>
  <si>
    <t xml:space="preserve">P1</t>
  </si>
  <si>
    <t xml:space="preserve">1546426069</t>
  </si>
  <si>
    <t xml:space="preserve">idp_ingestion_cbs_p1</t>
  </si>
  <si>
    <t xml:space="preserve">P2</t>
  </si>
  <si>
    <t xml:space="preserve">1546972952</t>
  </si>
  <si>
    <t xml:space="preserve">idp_ingestion_cbs_p2</t>
  </si>
  <si>
    <t xml:space="preserve">P3</t>
  </si>
  <si>
    <t xml:space="preserve">1546481103</t>
  </si>
  <si>
    <t xml:space="preserve">idp_ingestion_cbs_p3</t>
  </si>
  <si>
    <t xml:space="preserve">3:00 AM</t>
  </si>
  <si>
    <t xml:space="preserve">P4</t>
  </si>
  <si>
    <t xml:space="preserve">1546580445</t>
  </si>
  <si>
    <t xml:space="preserve">idp_ingestion_cbs_p4</t>
  </si>
  <si>
    <t xml:space="preserve">7:00 AM</t>
  </si>
  <si>
    <t xml:space="preserve">P5</t>
  </si>
  <si>
    <t xml:space="preserve">1546751992</t>
  </si>
  <si>
    <t xml:space="preserve">idp_ingestion_cbs_p5</t>
  </si>
  <si>
    <t xml:space="preserve">3:30 PM</t>
  </si>
  <si>
    <t xml:space="preserve">P6</t>
  </si>
  <si>
    <t xml:space="preserve">9999999999</t>
  </si>
  <si>
    <t xml:space="preserve">idp_ingestion_cbs_p6</t>
  </si>
  <si>
    <t xml:space="preserve">5:00 AM</t>
  </si>
  <si>
    <t xml:space="preserve">TOTAL</t>
  </si>
  <si>
    <t xml:space="preserve">DAG Combination Scenarios — Impact Analysis</t>
  </si>
  <si>
    <t xml:space="preserve">Scenario</t>
  </si>
  <si>
    <t xml:space="preserve">DAG Grouping</t>
  </si>
  <si>
    <t xml:space="preserve"># DAGs</t>
  </si>
  <si>
    <t xml:space="preserve">Total Tables</t>
  </si>
  <si>
    <t xml:space="preserve">Combined DAG</t>
  </si>
  <si>
    <t xml:space="preserve">Tables in Combined</t>
  </si>
  <si>
    <t xml:space="preserve">Sum Avg (min)</t>
  </si>
  <si>
    <t xml:space="preserve">Est. Duration (min)</t>
  </si>
  <si>
    <t xml:space="preserve">Start Time</t>
  </si>
  <si>
    <t xml:space="preserve">Est. End Time</t>
  </si>
  <si>
    <t xml:space="preserve">Recommendation</t>
  </si>
  <si>
    <t xml:space="preserve">Current (All Separate)</t>
  </si>
  <si>
    <t xml:space="preserve">All independent</t>
  </si>
  <si>
    <t xml:space="preserve">—</t>
  </si>
  <si>
    <t xml:space="preserve">Various</t>
  </si>
  <si>
    <t xml:space="preserve">Baseline — 7 separate DAGs</t>
  </si>
  <si>
    <t xml:space="preserve">P0 + P1</t>
  </si>
  <si>
    <t xml:space="preserve">P0+P1, P2, P3, P4, P5, P6</t>
  </si>
  <si>
    <t xml:space="preserve">P0+P1</t>
  </si>
  <si>
    <t xml:space="preserve">12:48 PM</t>
  </si>
  <si>
    <t xml:space="preserve">Good — same schedule, manageable</t>
  </si>
  <si>
    <t xml:space="preserve">P0 + P2  ★ BEST</t>
  </si>
  <si>
    <t xml:space="preserve">P0+P2, P1, P3, P4, P5, P6</t>
  </si>
  <si>
    <t xml:space="preserve">P0+P2</t>
  </si>
  <si>
    <t xml:space="preserve">12:17 PM</t>
  </si>
  <si>
    <t xml:space="preserve">★ BEST — light tables, shortest combined</t>
  </si>
  <si>
    <t xml:space="preserve">P0 + P1 + P2</t>
  </si>
  <si>
    <t xml:space="preserve">P0+P1+P2, P3, P4, P5, P6</t>
  </si>
  <si>
    <t xml:space="preserve">P0+P1+P2</t>
  </si>
  <si>
    <t xml:space="preserve">2:27 PM</t>
  </si>
  <si>
    <t xml:space="preserve">Aggressive — 4h+ single DAG</t>
  </si>
  <si>
    <t xml:space="preserve">P3 + P6 (Early AM)</t>
  </si>
  <si>
    <t xml:space="preserve">P0, P1, P2, P3+P6, P4, P5</t>
  </si>
  <si>
    <t xml:space="preserve">P3+P6</t>
  </si>
  <si>
    <t xml:space="preserve">6:51 AM</t>
  </si>
  <si>
    <t xml:space="preserve">Good — finishes before P4 starts</t>
  </si>
  <si>
    <t xml:space="preserve">P0 + P1 + P3</t>
  </si>
  <si>
    <t xml:space="preserve">P0+P1+P3, P2, P4, P5, P6</t>
  </si>
  <si>
    <t xml:space="preserve">P0+P1+P3</t>
  </si>
  <si>
    <t xml:space="preserve">6:05 AM</t>
  </si>
  <si>
    <t xml:space="preserve">OK — requires schedule alignment</t>
  </si>
  <si>
    <t xml:space="preserve">P4 + P5  ⚠ AVOID</t>
  </si>
  <si>
    <t xml:space="preserve">P0, P1, P2, P3, P4+P5, P6</t>
  </si>
  <si>
    <t xml:space="preserve">P4+P5</t>
  </si>
  <si>
    <t xml:space="preserve">4:23 PM</t>
  </si>
  <si>
    <t xml:space="preserve">⚠ AVOID — 9.4 hour monster!</t>
  </si>
  <si>
    <t xml:space="preserve">P5 + P6  ⚠ AVOID</t>
  </si>
  <si>
    <t xml:space="preserve">P0, P1, P2, P3, P4, P5+P6</t>
  </si>
  <si>
    <t xml:space="preserve">P5+P6</t>
  </si>
  <si>
    <t xml:space="preserve">1:38 PM</t>
  </si>
  <si>
    <t xml:space="preserve">⚠ AVOID — 8.6 hour DAG</t>
  </si>
  <si>
    <t xml:space="preserve">DAG Execution Timeline — Visual Schedule (each cell ≈ 30 min)</t>
  </si>
  <si>
    <t xml:space="preserve">Colored bars show estimated execution window. Compare Current vs Recommended configuration.</t>
  </si>
  <si>
    <t xml:space="preserve">DAG / Scenario</t>
  </si>
  <si>
    <t xml:space="preserve">2:00AM</t>
  </si>
  <si>
    <t xml:space="preserve">2:30AM</t>
  </si>
  <si>
    <t xml:space="preserve">3:00AM</t>
  </si>
  <si>
    <t xml:space="preserve">3:30AM</t>
  </si>
  <si>
    <t xml:space="preserve">4:00AM</t>
  </si>
  <si>
    <t xml:space="preserve">4:30AM</t>
  </si>
  <si>
    <t xml:space="preserve">5:00AM</t>
  </si>
  <si>
    <t xml:space="preserve">5:30AM</t>
  </si>
  <si>
    <t xml:space="preserve">6:00AM</t>
  </si>
  <si>
    <t xml:space="preserve">6:30AM</t>
  </si>
  <si>
    <t xml:space="preserve">7:00AM</t>
  </si>
  <si>
    <t xml:space="preserve">7:30AM</t>
  </si>
  <si>
    <t xml:space="preserve">8:00AM</t>
  </si>
  <si>
    <t xml:space="preserve">8:30AM</t>
  </si>
  <si>
    <t xml:space="preserve">9:00AM</t>
  </si>
  <si>
    <t xml:space="preserve">9:30AM</t>
  </si>
  <si>
    <t xml:space="preserve">10:00AM</t>
  </si>
  <si>
    <t xml:space="preserve">10:30AM</t>
  </si>
  <si>
    <t xml:space="preserve">11:00AM</t>
  </si>
  <si>
    <t xml:space="preserve">11:30AM</t>
  </si>
  <si>
    <t xml:space="preserve">12:00PM</t>
  </si>
  <si>
    <t xml:space="preserve">12:30PM</t>
  </si>
  <si>
    <t xml:space="preserve">1:00PM</t>
  </si>
  <si>
    <t xml:space="preserve">1:30PM</t>
  </si>
  <si>
    <t xml:space="preserve">2:00PM</t>
  </si>
  <si>
    <t xml:space="preserve">2:30PM</t>
  </si>
  <si>
    <t xml:space="preserve">3:00PM</t>
  </si>
  <si>
    <t xml:space="preserve">3:30PM</t>
  </si>
  <si>
    <t xml:space="preserve">4:00PM</t>
  </si>
  <si>
    <t xml:space="preserve">4:30PM</t>
  </si>
  <si>
    <t xml:space="preserve">5:00PM</t>
  </si>
  <si>
    <t xml:space="preserve">5:30PM</t>
  </si>
  <si>
    <t xml:space="preserve">6:00PM</t>
  </si>
  <si>
    <t xml:space="preserve">6:30PM</t>
  </si>
  <si>
    <t xml:space="preserve">7:00PM</t>
  </si>
  <si>
    <t xml:space="preserve">7:30PM</t>
  </si>
  <si>
    <t xml:space="preserve">8:00PM</t>
  </si>
  <si>
    <t xml:space="preserve">8:30PM</t>
  </si>
  <si>
    <t xml:space="preserve">9:00PM</t>
  </si>
  <si>
    <t xml:space="preserve">9:30PM</t>
  </si>
  <si>
    <t xml:space="preserve">── CURRENT (7 DAGs) ──</t>
  </si>
  <si>
    <t xml:space="preserve">P3 (26 min)</t>
  </si>
  <si>
    <t xml:space="preserve">P6 (170 min)</t>
  </si>
  <si>
    <t xml:space="preserve">P4 (250 min)</t>
  </si>
  <si>
    <t xml:space="preserve">P0 (24 min)</t>
  </si>
  <si>
    <t xml:space="preserve">P1 (130 min)</t>
  </si>
  <si>
    <t xml:space="preserve">P2 (140 min)</t>
  </si>
  <si>
    <t xml:space="preserve">P5 (310 min)</t>
  </si>
  <si>
    <t xml:space="preserve">── RECOMMENDED (5 DAGs) ──</t>
  </si>
  <si>
    <t xml:space="preserve">P3+P6 ★ (231 min)</t>
  </si>
  <si>
    <t xml:space="preserve">P0+P2 ★ (122 min)</t>
  </si>
  <si>
    <t xml:space="preserve">LEGEND:</t>
  </si>
  <si>
    <t xml:space="preserve">Merged</t>
  </si>
  <si>
    <t xml:space="preserve">Table Inventory — Key DAGs (P0, P1, P3, P4, P6)</t>
  </si>
  <si>
    <t xml:space="preserve">Table Name</t>
  </si>
  <si>
    <t xml:space="preserve">DB Name</t>
  </si>
  <si>
    <t xml:space="preserve">Avg Time (min)</t>
  </si>
  <si>
    <t xml:space="preserve">Size Category</t>
  </si>
  <si>
    <t xml:space="preserve">% of DAG Total</t>
  </si>
  <si>
    <t xml:space="preserve">qith</t>
  </si>
  <si>
    <t xml:space="preserve">fnsonlp</t>
  </si>
  <si>
    <t xml:space="preserve">Medium (5-9)</t>
  </si>
  <si>
    <t xml:space="preserve">eftm</t>
  </si>
  <si>
    <t xml:space="preserve">prod</t>
  </si>
  <si>
    <t xml:space="preserve">IPRD</t>
  </si>
  <si>
    <t xml:space="preserve">Heavy (10+)</t>
  </si>
  <si>
    <t xml:space="preserve">KYCS</t>
  </si>
  <si>
    <t xml:space="preserve">ocri</t>
  </si>
  <si>
    <t xml:space="preserve">ocid</t>
  </si>
  <si>
    <t xml:space="preserve">icdd</t>
  </si>
  <si>
    <t xml:space="preserve">RELP</t>
  </si>
  <si>
    <t xml:space="preserve">icid</t>
  </si>
  <si>
    <t xml:space="preserve">CUSVEQ</t>
  </si>
  <si>
    <t xml:space="preserve">RELM</t>
  </si>
  <si>
    <t xml:space="preserve">DPDD</t>
  </si>
  <si>
    <t xml:space="preserve">SORD</t>
  </si>
  <si>
    <t xml:space="preserve">CASN</t>
  </si>
  <si>
    <t xml:space="preserve">BORG</t>
  </si>
  <si>
    <t xml:space="preserve">CID3</t>
  </si>
  <si>
    <t xml:space="preserve">Light (&lt;5)</t>
  </si>
  <si>
    <t xml:space="preserve">ed2p</t>
  </si>
  <si>
    <t xml:space="preserve">gldm</t>
  </si>
  <si>
    <t xml:space="preserve">mnfh</t>
  </si>
  <si>
    <t xml:space="preserve">tffm</t>
  </si>
  <si>
    <t xml:space="preserve">SVS_SIG_MAT</t>
  </si>
  <si>
    <t xml:space="preserve">ifsc</t>
  </si>
  <si>
    <t xml:space="preserve">CURH</t>
  </si>
  <si>
    <t xml:space="preserve">ACRH</t>
  </si>
  <si>
    <t xml:space="preserve">incc</t>
  </si>
  <si>
    <t xml:space="preserve">audt</t>
  </si>
  <si>
    <t xml:space="preserve">MCAD</t>
  </si>
  <si>
    <t xml:space="preserve">COLE</t>
  </si>
  <si>
    <t xml:space="preserve">cumi</t>
  </si>
  <si>
    <t xml:space="preserve">racd</t>
  </si>
  <si>
    <t xml:space="preserve">cusvd4</t>
  </si>
  <si>
    <t xml:space="preserve">coem</t>
  </si>
  <si>
    <t xml:space="preserve">apym</t>
  </si>
  <si>
    <t xml:space="preserve">GLEB</t>
  </si>
  <si>
    <t xml:space="preserve">insh</t>
  </si>
  <si>
    <t xml:space="preserve">gstc</t>
  </si>
  <si>
    <t xml:space="preserve">mfld</t>
  </si>
  <si>
    <t xml:space="preserve">uuid</t>
  </si>
  <si>
    <t xml:space="preserve">cusvaa</t>
  </si>
  <si>
    <t xml:space="preserve">cuid</t>
  </si>
  <si>
    <t xml:space="preserve">cusvd1</t>
  </si>
  <si>
    <t xml:space="preserve">mfsq</t>
  </si>
  <si>
    <t xml:space="preserve">mfvd</t>
  </si>
  <si>
    <t xml:space="preserve">QERR</t>
  </si>
  <si>
    <t xml:space="preserve">gect_src</t>
  </si>
  <si>
    <t xml:space="preserve">mfsv</t>
  </si>
  <si>
    <t xml:space="preserve">tdrv</t>
  </si>
  <si>
    <t xml:space="preserve">ddrh</t>
  </si>
  <si>
    <t xml:space="preserve">ctam</t>
  </si>
  <si>
    <t xml:space="preserve">txop</t>
  </si>
  <si>
    <t xml:space="preserve">SVS_SIG_LINK</t>
  </si>
  <si>
    <t xml:space="preserve">TXTM</t>
  </si>
  <si>
    <t xml:space="preserve">colm</t>
  </si>
  <si>
    <t xml:space="preserve">HLDT</t>
  </si>
  <si>
    <t xml:space="preserve">empp</t>
  </si>
  <si>
    <t xml:space="preserve">acfr</t>
  </si>
  <si>
    <t xml:space="preserve">INCT</t>
  </si>
  <si>
    <t xml:space="preserve">invm</t>
  </si>
  <si>
    <t xml:space="preserve">gect</t>
  </si>
  <si>
    <t xml:space="preserve">invb</t>
  </si>
  <si>
    <t xml:space="preserve">acsn</t>
  </si>
  <si>
    <t xml:space="preserve">gl02</t>
  </si>
  <si>
    <t xml:space="preserve">cusm</t>
  </si>
  <si>
    <t xml:space="preserve">ACFH</t>
  </si>
  <si>
    <t xml:space="preserve">brhm</t>
  </si>
  <si>
    <t xml:space="preserve">infz</t>
  </si>
  <si>
    <t xml:space="preserve">gl01</t>
  </si>
  <si>
    <t xml:space="preserve">indu</t>
  </si>
  <si>
    <t xml:space="preserve">ENBR</t>
  </si>
  <si>
    <t xml:space="preserve">ctpm</t>
  </si>
  <si>
    <t xml:space="preserve">cusvdd</t>
  </si>
  <si>
    <t xml:space="preserve">depp</t>
  </si>
  <si>
    <t xml:space="preserve">★ Optimization Recommendation</t>
  </si>
  <si>
    <t xml:space="preserve">Ranked Combination Options</t>
  </si>
  <si>
    <t xml:space="preserve">Rank</t>
  </si>
  <si>
    <t xml:space="preserve">Combination</t>
  </si>
  <si>
    <t xml:space="preserve">Rating</t>
  </si>
  <si>
    <t xml:space="preserve">Tables in Merged</t>
  </si>
  <si>
    <t xml:space="preserve">Est. Duration</t>
  </si>
  <si>
    <t xml:space="preserve">Total DAGs After</t>
  </si>
  <si>
    <t xml:space="preserve">Details</t>
  </si>
  <si>
    <t xml:space="preserve">1</t>
  </si>
  <si>
    <t xml:space="preserve">P0 + P2</t>
  </si>
  <si>
    <t xml:space="preserve">★ BEST</t>
  </si>
  <si>
    <t xml:space="preserve">~122 min</t>
  </si>
  <si>
    <t xml:space="preserve">Same schedule. P0 tiny + P2 all light tables. Shortest combined time. Minimal risk.</t>
  </si>
  <si>
    <t xml:space="preserve">2</t>
  </si>
  <si>
    <t xml:space="preserve">P3 + P6</t>
  </si>
  <si>
    <t xml:space="preserve">GOOD</t>
  </si>
  <si>
    <t xml:space="preserve">~231 min</t>
  </si>
  <si>
    <t xml:space="preserve">Early AM merge. P3 (3AM) + P6 (5AM). Finishes 6:51 AM before P4 starts.</t>
  </si>
  <si>
    <t xml:space="preserve">3</t>
  </si>
  <si>
    <t xml:space="preserve">OK</t>
  </si>
  <si>
    <t xml:space="preserve">~153 min</t>
  </si>
  <si>
    <t xml:space="preserve">Same schedule but P1 has heavy tables (IPRD 14m, KYCS 12m). Works but less optimal.</t>
  </si>
  <si>
    <t xml:space="preserve">4</t>
  </si>
  <si>
    <t xml:space="preserve">AGGRESSIVE</t>
  </si>
  <si>
    <t xml:space="preserve">~252 min</t>
  </si>
  <si>
    <t xml:space="preserve">Max consolidation of 10:15 AM DAGs. Creates 4h+ DAG. Higher failure impact.</t>
  </si>
  <si>
    <t xml:space="preserve">5</t>
  </si>
  <si>
    <t xml:space="preserve">P4 + P5</t>
  </si>
  <si>
    <t xml:space="preserve">⚠ AVOID</t>
  </si>
  <si>
    <t xml:space="preserve">~563 min</t>
  </si>
  <si>
    <t xml:space="preserve">9.4 hour DAG! One failure restarts everything. Unacceptable risk.</t>
  </si>
  <si>
    <t xml:space="preserve">★  RECOMMENDED FINAL CONFIGURATION (7 → 5 DAGs)  ★</t>
  </si>
  <si>
    <t xml:space="preserve">DAG Configuration</t>
  </si>
  <si>
    <t xml:space="preserve">DAG 1</t>
  </si>
  <si>
    <t xml:space="preserve">P3 + P6 (merged)</t>
  </si>
  <si>
    <t xml:space="preserve">DAG 2</t>
  </si>
  <si>
    <t xml:space="preserve">P4 (as-is)</t>
  </si>
  <si>
    <t xml:space="preserve">~250 min</t>
  </si>
  <si>
    <t xml:space="preserve">11:10 AM</t>
  </si>
  <si>
    <t xml:space="preserve">DAG 3</t>
  </si>
  <si>
    <t xml:space="preserve">P0 + P2 (merged)</t>
  </si>
  <si>
    <t xml:space="preserve">DAG 4</t>
  </si>
  <si>
    <t xml:space="preserve">P1 (as-is)</t>
  </si>
  <si>
    <t xml:space="preserve">~130 min</t>
  </si>
  <si>
    <t xml:space="preserve">12:25 PM</t>
  </si>
  <si>
    <t xml:space="preserve">DAG 5</t>
  </si>
  <si>
    <t xml:space="preserve">P5 (as-is)</t>
  </si>
  <si>
    <t xml:space="preserve">~310 min</t>
  </si>
  <si>
    <t xml:space="preserve">8:40 PM</t>
  </si>
  <si>
    <t xml:space="preserve">RESULT: 7 DAGs → 5 DAGs  |  2 fewer DAGs to manage  |  No increase in latest end time  |  Cleaner operational footprint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</si>
</sst>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A90D9"/>
      <name val="Arial"/>
      <family val="0"/>
      <charset val="1"/>
    </font>
    <font>
      <i val="true"/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3498DB"/>
      <name val="Arial"/>
      <family val="0"/>
      <charset val="1"/>
    </font>
    <font>
      <sz val="10"/>
      <color rgb="FF2C3E50"/>
      <name val="Consolas"/>
      <family val="0"/>
      <charset val="1"/>
    </font>
    <font>
      <b val="true"/>
      <sz val="11"/>
      <color rgb="FF9B59B6"/>
      <name val="Arial"/>
      <family val="0"/>
      <charset val="1"/>
    </font>
    <font>
      <b val="true"/>
      <sz val="11"/>
      <color rgb="FF1ABC9C"/>
      <name val="Arial"/>
      <family val="0"/>
      <charset val="1"/>
    </font>
    <font>
      <b val="true"/>
      <sz val="11"/>
      <color rgb="FFF39C12"/>
      <name val="Arial"/>
      <family val="0"/>
      <charset val="1"/>
    </font>
    <font>
      <b val="true"/>
      <sz val="11"/>
      <color rgb="FFE74C3C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0"/>
      <color rgb="FFFFFFFF"/>
      <name val="Consola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27AE60"/>
      <name val="Arial"/>
      <family val="0"/>
      <charset val="1"/>
    </font>
    <font>
      <b val="true"/>
      <sz val="10"/>
      <color rgb="FF2C3E50"/>
      <name val="Arial"/>
      <family val="0"/>
      <charset val="1"/>
    </font>
    <font>
      <sz val="10"/>
      <color rgb="FF2C3E5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74C3C"/>
      <name val="Arial"/>
      <family val="0"/>
      <charset val="1"/>
    </font>
    <font>
      <b val="true"/>
      <sz val="16"/>
      <color rgb="FFF39C12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10"/>
      <color rgb="FF4A90D9"/>
      <name val="Arial"/>
      <family val="0"/>
      <charset val="1"/>
    </font>
    <font>
      <b val="true"/>
      <sz val="9"/>
      <color rgb="FF2C3E50"/>
      <name val="Arial"/>
      <family val="0"/>
      <charset val="1"/>
    </font>
    <font>
      <sz val="9"/>
      <color rgb="FF2C3E50"/>
      <name val="Arial"/>
      <family val="0"/>
      <charset val="1"/>
    </font>
    <font>
      <b val="true"/>
      <sz val="16"/>
      <color rgb="FF8E44AD"/>
      <name val="Arial"/>
      <family val="0"/>
      <charset val="1"/>
    </font>
    <font>
      <b val="true"/>
      <sz val="10"/>
      <color rgb="FF3498DB"/>
      <name val="Arial"/>
      <family val="0"/>
      <charset val="1"/>
    </font>
    <font>
      <b val="true"/>
      <sz val="9"/>
      <color rgb="FFF39C12"/>
      <name val="Arial"/>
      <family val="0"/>
      <charset val="1"/>
    </font>
    <font>
      <b val="true"/>
      <sz val="10"/>
      <color rgb="FF9B59B6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10"/>
      <color rgb="FFF39C12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8"/>
      <color rgb="FF27AE60"/>
      <name val="Arial"/>
      <family val="0"/>
      <charset val="1"/>
    </font>
    <font>
      <b val="true"/>
      <sz val="13"/>
      <color rgb="FF2D3A5C"/>
      <name val="Arial"/>
      <family val="0"/>
      <charset val="1"/>
    </font>
    <font>
      <b val="true"/>
      <sz val="12"/>
      <color rgb="FF27AE60"/>
      <name val="Arial"/>
      <family val="0"/>
      <charset val="1"/>
    </font>
    <font>
      <b val="true"/>
      <sz val="11"/>
      <color rgb="FF2C3E50"/>
      <name val="Arial"/>
      <family val="0"/>
      <charset val="1"/>
    </font>
    <font>
      <b val="true"/>
      <sz val="12"/>
      <color rgb="FF4A90D9"/>
      <name val="Arial"/>
      <family val="0"/>
      <charset val="1"/>
    </font>
    <font>
      <b val="true"/>
      <sz val="12"/>
      <color rgb="FFF39C12"/>
      <name val="Arial"/>
      <family val="0"/>
      <charset val="1"/>
    </font>
    <font>
      <b val="true"/>
      <sz val="12"/>
      <color rgb="FFE74C3C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0">
    <fill>
      <patternFill patternType="none"/>
    </fill>
    <fill>
      <patternFill patternType="gray125"/>
    </fill>
    <fill>
      <patternFill patternType="solid">
        <fgColor rgb="FF2D3A5C"/>
        <bgColor rgb="FF2C3E50"/>
      </patternFill>
    </fill>
    <fill>
      <patternFill patternType="solid">
        <fgColor rgb="FFF8F9FA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B2138"/>
        <bgColor rgb="FF2D3A5C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FADBD8"/>
        <bgColor rgb="FFE8E8E8"/>
      </patternFill>
    </fill>
    <fill>
      <patternFill patternType="solid">
        <fgColor rgb="FFF39C12"/>
        <bgColor rgb="FFD4AC0D"/>
      </patternFill>
    </fill>
    <fill>
      <patternFill patternType="solid">
        <fgColor rgb="FFE67E22"/>
        <bgColor rgb="FFF39C12"/>
      </patternFill>
    </fill>
    <fill>
      <patternFill patternType="solid">
        <fgColor rgb="FFE74C3C"/>
        <bgColor rgb="FFE67E22"/>
      </patternFill>
    </fill>
    <fill>
      <patternFill patternType="solid">
        <fgColor rgb="FF3498DB"/>
        <bgColor rgb="FF4A90D9"/>
      </patternFill>
    </fill>
    <fill>
      <patternFill patternType="solid">
        <fgColor rgb="FF9B59B6"/>
        <bgColor rgb="FF8E44AD"/>
      </patternFill>
    </fill>
    <fill>
      <patternFill patternType="solid">
        <fgColor rgb="FF1ABC9C"/>
        <bgColor rgb="FF16A085"/>
      </patternFill>
    </fill>
    <fill>
      <patternFill patternType="solid">
        <fgColor rgb="FF27AE60"/>
        <bgColor rgb="FF16A085"/>
      </patternFill>
    </fill>
    <fill>
      <patternFill patternType="solid">
        <fgColor rgb="FFD4AC0D"/>
        <bgColor rgb="FFF39C12"/>
      </patternFill>
    </fill>
    <fill>
      <patternFill patternType="solid">
        <fgColor rgb="FF16A085"/>
        <bgColor rgb="FF27AE60"/>
      </patternFill>
    </fill>
    <fill>
      <patternFill patternType="solid">
        <fgColor rgb="FFFEF9E7"/>
        <bgColor rgb="FFF9F9F9"/>
      </patternFill>
    </fill>
    <fill>
      <patternFill patternType="solid">
        <fgColor rgb="FF1E8449"/>
        <bgColor rgb="FF008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hair">
        <color rgb="FFE8E8E8"/>
      </left>
      <right style="hair">
        <color rgb="FFE8E8E8"/>
      </right>
      <top style="thin">
        <color rgb="FFD5D8DC"/>
      </top>
      <bottom style="thin">
        <color rgb="FFD5D8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8449"/>
      <rgbColor rgb="FFD9D9D9"/>
      <rgbColor rgb="FF878787"/>
      <rgbColor rgb="FF9999FF"/>
      <rgbColor rgb="FF8E44AD"/>
      <rgbColor rgb="FFFEF9E7"/>
      <rgbColor rgb="FFD6EAF8"/>
      <rgbColor rgb="FF660066"/>
      <rgbColor rgb="FFE74C3C"/>
      <rgbColor rgb="FF3498DB"/>
      <rgbColor rgb="FFD5D8DC"/>
      <rgbColor rgb="FF000080"/>
      <rgbColor rgb="FFFF00FF"/>
      <rgbColor rgb="FFFFFF00"/>
      <rgbColor rgb="FF00FFFF"/>
      <rgbColor rgb="FF800080"/>
      <rgbColor rgb="FF800000"/>
      <rgbColor rgb="FF16A085"/>
      <rgbColor rgb="FF0000FF"/>
      <rgbColor rgb="FF00CCFF"/>
      <rgbColor rgb="FFE8E8E8"/>
      <rgbColor rgb="FFD5F5E3"/>
      <rgbColor rgb="FFF9F9F9"/>
      <rgbColor rgb="FFF8F9FA"/>
      <rgbColor rgb="FFFF99CC"/>
      <rgbColor rgb="FFCC99FF"/>
      <rgbColor rgb="FFFADBD8"/>
      <rgbColor rgb="FF4A90D9"/>
      <rgbColor rgb="FF1ABC9C"/>
      <rgbColor rgb="FF99CC00"/>
      <rgbColor rgb="FFD4AC0D"/>
      <rgbColor rgb="FFF39C12"/>
      <rgbColor rgb="FFE67E22"/>
      <rgbColor rgb="FF9B59B6"/>
      <rgbColor rgb="FF7F8C8D"/>
      <rgbColor rgb="FF1B2138"/>
      <rgbColor rgb="FF27AE60"/>
      <rgbColor rgb="FF003300"/>
      <rgbColor rgb="FF333300"/>
      <rgbColor rgb="FF993300"/>
      <rgbColor rgb="FF993366"/>
      <rgbColor rgb="FF2D3A5C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Sum Avg Time per DAG (minutes)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'Current DAG Overview'!F4</c:f>
              <c:strCache>
                <c:ptCount val="1"/>
                <c:pt idx="0">
                  <c:v>Sum Avg Time (min)</c:v>
                </c:pt>
              </c:strCache>
            </c:strRef>
          </c:tx>
          <c:spPr>
            <a:solidFill>
              <a:srgbClr val="4a90d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'Current DAG Overview'!$A$5:$A$11</c:f>
              <c:strCache>
                <c:ptCount val="7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  <c:pt idx="4">
                  <c:v>P4</c:v>
                </c:pt>
                <c:pt idx="5">
                  <c:v>P5</c:v>
                </c:pt>
                <c:pt idx="6">
                  <c:v>P6</c:v>
                </c:pt>
              </c:strCache>
            </c:strRef>
          </c:cat>
          <c:val>
            <c:numRef>
              <c:f>'Current DAG Overview'!$F$5:$F$11</c:f>
              <c:numCache>
                <c:formatCode>General</c:formatCode>
                <c:ptCount val="7"/>
                <c:pt idx="0">
                  <c:v>21</c:v>
                </c:pt>
                <c:pt idx="1">
                  <c:v>121</c:v>
                </c:pt>
                <c:pt idx="2">
                  <c:v>91.5</c:v>
                </c:pt>
                <c:pt idx="3">
                  <c:v>29</c:v>
                </c:pt>
                <c:pt idx="4">
                  <c:v>226</c:v>
                </c:pt>
                <c:pt idx="5">
                  <c:v>295</c:v>
                </c:pt>
                <c:pt idx="6">
                  <c:v>185</c:v>
                </c:pt>
              </c:numCache>
            </c:numRef>
          </c:val>
        </c:ser>
        <c:gapWidth val="150"/>
        <c:overlap val="0"/>
        <c:axId val="92661732"/>
        <c:axId val="87368641"/>
      </c:barChart>
      <c:catAx>
        <c:axId val="92661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68641"/>
        <c:crosses val="autoZero"/>
        <c:auto val="1"/>
        <c:lblAlgn val="ctr"/>
        <c:lblOffset val="100"/>
        <c:noMultiLvlLbl val="0"/>
      </c:catAx>
      <c:valAx>
        <c:axId val="873686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6617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39960</xdr:rowOff>
    </xdr:from>
    <xdr:to>
      <xdr:col>6</xdr:col>
      <xdr:colOff>1011960</xdr:colOff>
      <xdr:row>36</xdr:row>
      <xdr:rowOff>147600</xdr:rowOff>
    </xdr:to>
    <xdr:graphicFrame>
      <xdr:nvGraphicFramePr>
        <xdr:cNvPr id="0" name="Chart 1"/>
        <xdr:cNvGraphicFramePr/>
      </xdr:nvGraphicFramePr>
      <xdr:xfrm>
        <a:off x="0" y="272412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I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22"/>
    <col collapsed="false" customWidth="true" hidden="false" outlineLevel="0" max="9" min="9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5" t="s">
        <v>13</v>
      </c>
      <c r="D5" s="5" t="s">
        <v>14</v>
      </c>
      <c r="E5" s="5" t="n">
        <v>3</v>
      </c>
      <c r="F5" s="5" t="n">
        <v>21</v>
      </c>
      <c r="G5" s="5" t="n">
        <v>9</v>
      </c>
      <c r="H5" s="5" t="n">
        <v>24</v>
      </c>
      <c r="I5" s="6" t="n">
        <f aca="false">F5/E5</f>
        <v>7</v>
      </c>
    </row>
    <row r="6" customFormat="false" ht="15" hidden="false" customHeight="false" outlineLevel="0" collapsed="false">
      <c r="A6" s="7" t="s">
        <v>15</v>
      </c>
      <c r="B6" s="8" t="s">
        <v>16</v>
      </c>
      <c r="C6" s="8" t="s">
        <v>17</v>
      </c>
      <c r="D6" s="8" t="s">
        <v>14</v>
      </c>
      <c r="E6" s="8" t="n">
        <v>14</v>
      </c>
      <c r="F6" s="8" t="n">
        <v>121</v>
      </c>
      <c r="G6" s="8" t="n">
        <v>14</v>
      </c>
      <c r="H6" s="8" t="n">
        <v>130</v>
      </c>
      <c r="I6" s="9" t="n">
        <f aca="false">F6/E6</f>
        <v>8.64285714285714</v>
      </c>
    </row>
    <row r="7" customFormat="false" ht="15" hidden="false" customHeight="false" outlineLevel="0" collapsed="false">
      <c r="A7" s="10" t="s">
        <v>18</v>
      </c>
      <c r="B7" s="5" t="s">
        <v>19</v>
      </c>
      <c r="C7" s="5" t="s">
        <v>20</v>
      </c>
      <c r="D7" s="5" t="s">
        <v>14</v>
      </c>
      <c r="E7" s="5" t="n">
        <v>77</v>
      </c>
      <c r="F7" s="5" t="n">
        <v>91.5</v>
      </c>
      <c r="G7" s="5" t="n">
        <v>3</v>
      </c>
      <c r="H7" s="5" t="n">
        <v>140</v>
      </c>
      <c r="I7" s="6" t="n">
        <f aca="false">F7/E7</f>
        <v>1.18831168831169</v>
      </c>
    </row>
    <row r="8" customFormat="false" ht="15" hidden="false" customHeight="false" outlineLevel="0" collapsed="false">
      <c r="A8" s="11" t="s">
        <v>21</v>
      </c>
      <c r="B8" s="8" t="s">
        <v>22</v>
      </c>
      <c r="C8" s="8" t="s">
        <v>23</v>
      </c>
      <c r="D8" s="8" t="s">
        <v>24</v>
      </c>
      <c r="E8" s="8" t="n">
        <v>4</v>
      </c>
      <c r="F8" s="8" t="n">
        <v>29</v>
      </c>
      <c r="G8" s="8" t="n">
        <v>13</v>
      </c>
      <c r="H8" s="8" t="n">
        <v>26</v>
      </c>
      <c r="I8" s="9" t="n">
        <f aca="false">F8/E8</f>
        <v>7.25</v>
      </c>
    </row>
    <row r="9" customFormat="false" ht="15" hidden="false" customHeight="false" outlineLevel="0" collapsed="false">
      <c r="A9" s="12" t="s">
        <v>25</v>
      </c>
      <c r="B9" s="5" t="s">
        <v>26</v>
      </c>
      <c r="C9" s="5" t="s">
        <v>27</v>
      </c>
      <c r="D9" s="5" t="s">
        <v>28</v>
      </c>
      <c r="E9" s="5" t="n">
        <v>36</v>
      </c>
      <c r="F9" s="5" t="n">
        <v>226</v>
      </c>
      <c r="G9" s="5" t="n">
        <v>11</v>
      </c>
      <c r="H9" s="5" t="n">
        <v>250</v>
      </c>
      <c r="I9" s="6" t="n">
        <f aca="false">F9/E9</f>
        <v>6.27777777777778</v>
      </c>
    </row>
    <row r="10" customFormat="false" ht="15" hidden="false" customHeight="false" outlineLevel="0" collapsed="false">
      <c r="A10" s="13" t="s">
        <v>29</v>
      </c>
      <c r="B10" s="8" t="s">
        <v>30</v>
      </c>
      <c r="C10" s="8" t="s">
        <v>31</v>
      </c>
      <c r="D10" s="8" t="s">
        <v>32</v>
      </c>
      <c r="E10" s="8" t="n">
        <v>72</v>
      </c>
      <c r="F10" s="8" t="n">
        <v>295</v>
      </c>
      <c r="G10" s="8" t="n">
        <v>8</v>
      </c>
      <c r="H10" s="8" t="n">
        <v>310</v>
      </c>
      <c r="I10" s="9" t="n">
        <f aca="false">F10/E10</f>
        <v>4.09722222222222</v>
      </c>
    </row>
    <row r="11" customFormat="false" ht="15" hidden="false" customHeight="false" outlineLevel="0" collapsed="false">
      <c r="A11" s="14" t="s">
        <v>33</v>
      </c>
      <c r="B11" s="5" t="s">
        <v>34</v>
      </c>
      <c r="C11" s="5" t="s">
        <v>35</v>
      </c>
      <c r="D11" s="5" t="s">
        <v>36</v>
      </c>
      <c r="E11" s="5" t="n">
        <v>17</v>
      </c>
      <c r="F11" s="5" t="n">
        <v>185</v>
      </c>
      <c r="G11" s="5" t="n">
        <v>20</v>
      </c>
      <c r="H11" s="5" t="n">
        <v>170</v>
      </c>
      <c r="I11" s="6" t="n">
        <f aca="false">F11/E11</f>
        <v>10.8823529411765</v>
      </c>
    </row>
    <row r="12" customFormat="false" ht="15" hidden="false" customHeight="false" outlineLevel="0" collapsed="false">
      <c r="A12" s="15" t="s">
        <v>37</v>
      </c>
      <c r="B12" s="15"/>
      <c r="C12" s="15"/>
      <c r="D12" s="15"/>
      <c r="E12" s="15" t="n">
        <f aca="false">SUM(E5:E11)</f>
        <v>223</v>
      </c>
      <c r="F12" s="15" t="n">
        <f aca="false">SUM(F5:F11)</f>
        <v>968.5</v>
      </c>
      <c r="G12" s="15"/>
      <c r="H12" s="15" t="n">
        <f aca="false">SUM(H5:H11)</f>
        <v>1050</v>
      </c>
      <c r="I12" s="1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6"/>
  </cols>
  <sheetData>
    <row r="1" customFormat="false" ht="34.5" hidden="false" customHeight="true" outlineLevel="0" collapsed="false">
      <c r="A1" s="16" t="s">
        <v>38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3" customFormat="false" ht="26.85" hidden="false" customHeight="false" outlineLevel="0" collapsed="false">
      <c r="A3" s="3" t="s">
        <v>39</v>
      </c>
      <c r="B3" s="3" t="s">
        <v>40</v>
      </c>
      <c r="C3" s="3" t="s">
        <v>41</v>
      </c>
      <c r="D3" s="3" t="s">
        <v>42</v>
      </c>
      <c r="E3" s="3" t="s">
        <v>43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  <c r="K3" s="3" t="s">
        <v>49</v>
      </c>
    </row>
    <row r="4" customFormat="false" ht="15" hidden="false" customHeight="false" outlineLevel="0" collapsed="false">
      <c r="A4" s="17" t="s">
        <v>50</v>
      </c>
      <c r="B4" s="18" t="s">
        <v>51</v>
      </c>
      <c r="C4" s="18" t="n">
        <v>7</v>
      </c>
      <c r="D4" s="18" t="n">
        <v>223</v>
      </c>
      <c r="E4" s="18" t="s">
        <v>52</v>
      </c>
      <c r="F4" s="18" t="s">
        <v>52</v>
      </c>
      <c r="G4" s="18" t="s">
        <v>52</v>
      </c>
      <c r="H4" s="18" t="s">
        <v>52</v>
      </c>
      <c r="I4" s="18" t="s">
        <v>53</v>
      </c>
      <c r="J4" s="18" t="s">
        <v>53</v>
      </c>
      <c r="K4" s="19" t="s">
        <v>54</v>
      </c>
    </row>
    <row r="5" customFormat="false" ht="15" hidden="false" customHeight="false" outlineLevel="0" collapsed="false">
      <c r="A5" s="20" t="s">
        <v>55</v>
      </c>
      <c r="B5" s="21" t="s">
        <v>56</v>
      </c>
      <c r="C5" s="21" t="n">
        <v>6</v>
      </c>
      <c r="D5" s="21" t="n">
        <v>223</v>
      </c>
      <c r="E5" s="21" t="s">
        <v>57</v>
      </c>
      <c r="F5" s="21" t="n">
        <v>17</v>
      </c>
      <c r="G5" s="21" t="n">
        <v>142</v>
      </c>
      <c r="H5" s="21" t="n">
        <v>153</v>
      </c>
      <c r="I5" s="21" t="s">
        <v>14</v>
      </c>
      <c r="J5" s="21" t="s">
        <v>58</v>
      </c>
      <c r="K5" s="22" t="s">
        <v>59</v>
      </c>
    </row>
    <row r="6" customFormat="false" ht="23.85" hidden="false" customHeight="false" outlineLevel="0" collapsed="false">
      <c r="A6" s="23" t="s">
        <v>60</v>
      </c>
      <c r="B6" s="24" t="s">
        <v>61</v>
      </c>
      <c r="C6" s="24" t="n">
        <v>6</v>
      </c>
      <c r="D6" s="24" t="n">
        <v>223</v>
      </c>
      <c r="E6" s="24" t="s">
        <v>62</v>
      </c>
      <c r="F6" s="24" t="n">
        <v>80</v>
      </c>
      <c r="G6" s="24" t="n">
        <v>112.5</v>
      </c>
      <c r="H6" s="24" t="n">
        <v>122</v>
      </c>
      <c r="I6" s="24" t="s">
        <v>14</v>
      </c>
      <c r="J6" s="24" t="s">
        <v>63</v>
      </c>
      <c r="K6" s="25" t="s">
        <v>64</v>
      </c>
    </row>
    <row r="7" customFormat="false" ht="15" hidden="false" customHeight="false" outlineLevel="0" collapsed="false">
      <c r="A7" s="20" t="s">
        <v>65</v>
      </c>
      <c r="B7" s="21" t="s">
        <v>66</v>
      </c>
      <c r="C7" s="21" t="n">
        <v>5</v>
      </c>
      <c r="D7" s="21" t="n">
        <v>223</v>
      </c>
      <c r="E7" s="21" t="s">
        <v>67</v>
      </c>
      <c r="F7" s="21" t="n">
        <v>94</v>
      </c>
      <c r="G7" s="21" t="n">
        <v>233.5</v>
      </c>
      <c r="H7" s="21" t="n">
        <v>252</v>
      </c>
      <c r="I7" s="21" t="s">
        <v>14</v>
      </c>
      <c r="J7" s="21" t="s">
        <v>68</v>
      </c>
      <c r="K7" s="22" t="s">
        <v>69</v>
      </c>
    </row>
    <row r="8" customFormat="false" ht="15" hidden="false" customHeight="false" outlineLevel="0" collapsed="false">
      <c r="A8" s="26" t="s">
        <v>70</v>
      </c>
      <c r="B8" s="27" t="s">
        <v>71</v>
      </c>
      <c r="C8" s="27" t="n">
        <v>6</v>
      </c>
      <c r="D8" s="27" t="n">
        <v>223</v>
      </c>
      <c r="E8" s="27" t="s">
        <v>72</v>
      </c>
      <c r="F8" s="27" t="n">
        <v>21</v>
      </c>
      <c r="G8" s="27" t="n">
        <v>214</v>
      </c>
      <c r="H8" s="27" t="n">
        <v>231</v>
      </c>
      <c r="I8" s="27" t="s">
        <v>24</v>
      </c>
      <c r="J8" s="27" t="s">
        <v>73</v>
      </c>
      <c r="K8" s="28" t="s">
        <v>74</v>
      </c>
    </row>
    <row r="9" customFormat="false" ht="15" hidden="false" customHeight="false" outlineLevel="0" collapsed="false">
      <c r="A9" s="20" t="s">
        <v>75</v>
      </c>
      <c r="B9" s="21" t="s">
        <v>76</v>
      </c>
      <c r="C9" s="21" t="n">
        <v>5</v>
      </c>
      <c r="D9" s="21" t="n">
        <v>223</v>
      </c>
      <c r="E9" s="21" t="s">
        <v>77</v>
      </c>
      <c r="F9" s="21" t="n">
        <v>21</v>
      </c>
      <c r="G9" s="21" t="n">
        <v>171</v>
      </c>
      <c r="H9" s="21" t="n">
        <v>185</v>
      </c>
      <c r="I9" s="21" t="s">
        <v>24</v>
      </c>
      <c r="J9" s="21" t="s">
        <v>78</v>
      </c>
      <c r="K9" s="22" t="s">
        <v>79</v>
      </c>
    </row>
    <row r="10" customFormat="false" ht="15" hidden="false" customHeight="false" outlineLevel="0" collapsed="false">
      <c r="A10" s="29" t="s">
        <v>80</v>
      </c>
      <c r="B10" s="30" t="s">
        <v>81</v>
      </c>
      <c r="C10" s="30" t="n">
        <v>6</v>
      </c>
      <c r="D10" s="30" t="n">
        <v>223</v>
      </c>
      <c r="E10" s="30" t="s">
        <v>82</v>
      </c>
      <c r="F10" s="30" t="n">
        <v>108</v>
      </c>
      <c r="G10" s="30" t="n">
        <v>521</v>
      </c>
      <c r="H10" s="30" t="n">
        <v>563</v>
      </c>
      <c r="I10" s="30" t="s">
        <v>28</v>
      </c>
      <c r="J10" s="30" t="s">
        <v>83</v>
      </c>
      <c r="K10" s="31" t="s">
        <v>84</v>
      </c>
    </row>
    <row r="11" customFormat="false" ht="15" hidden="false" customHeight="false" outlineLevel="0" collapsed="false">
      <c r="A11" s="29" t="s">
        <v>85</v>
      </c>
      <c r="B11" s="30" t="s">
        <v>86</v>
      </c>
      <c r="C11" s="30" t="n">
        <v>6</v>
      </c>
      <c r="D11" s="30" t="n">
        <v>223</v>
      </c>
      <c r="E11" s="30" t="s">
        <v>87</v>
      </c>
      <c r="F11" s="30" t="n">
        <v>89</v>
      </c>
      <c r="G11" s="30" t="n">
        <v>480</v>
      </c>
      <c r="H11" s="30" t="n">
        <v>518</v>
      </c>
      <c r="I11" s="30" t="s">
        <v>36</v>
      </c>
      <c r="J11" s="30" t="s">
        <v>88</v>
      </c>
      <c r="K11" s="31" t="s">
        <v>89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39C12"/>
    <pageSetUpPr fitToPage="false"/>
  </sheetPr>
  <dimension ref="A1:A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1" min="2" style="0" width="4.5"/>
  </cols>
  <sheetData>
    <row r="1" customFormat="false" ht="34.5" hidden="false" customHeight="true" outlineLevel="0" collapsed="false">
      <c r="A1" s="32" t="s">
        <v>90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customFormat="false" ht="15" hidden="false" customHeight="false" outlineLevel="0" collapsed="false">
      <c r="A2" s="2" t="s">
        <v>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4" customFormat="false" ht="28.35" hidden="false" customHeight="false" outlineLevel="0" collapsed="false">
      <c r="A4" s="3" t="s">
        <v>92</v>
      </c>
      <c r="B4" s="33" t="s">
        <v>93</v>
      </c>
      <c r="C4" s="33" t="s">
        <v>94</v>
      </c>
      <c r="D4" s="33" t="s">
        <v>95</v>
      </c>
      <c r="E4" s="33" t="s">
        <v>96</v>
      </c>
      <c r="F4" s="33" t="s">
        <v>97</v>
      </c>
      <c r="G4" s="33" t="s">
        <v>98</v>
      </c>
      <c r="H4" s="33" t="s">
        <v>99</v>
      </c>
      <c r="I4" s="33" t="s">
        <v>100</v>
      </c>
      <c r="J4" s="33" t="s">
        <v>101</v>
      </c>
      <c r="K4" s="33" t="s">
        <v>102</v>
      </c>
      <c r="L4" s="33" t="s">
        <v>103</v>
      </c>
      <c r="M4" s="33" t="s">
        <v>104</v>
      </c>
      <c r="N4" s="33" t="s">
        <v>105</v>
      </c>
      <c r="O4" s="33" t="s">
        <v>106</v>
      </c>
      <c r="P4" s="33" t="s">
        <v>107</v>
      </c>
      <c r="Q4" s="33" t="s">
        <v>108</v>
      </c>
      <c r="R4" s="33" t="s">
        <v>109</v>
      </c>
      <c r="S4" s="33" t="s">
        <v>110</v>
      </c>
      <c r="T4" s="33" t="s">
        <v>111</v>
      </c>
      <c r="U4" s="33" t="s">
        <v>112</v>
      </c>
      <c r="V4" s="33" t="s">
        <v>113</v>
      </c>
      <c r="W4" s="33" t="s">
        <v>114</v>
      </c>
      <c r="X4" s="33" t="s">
        <v>115</v>
      </c>
      <c r="Y4" s="33" t="s">
        <v>116</v>
      </c>
      <c r="Z4" s="33" t="s">
        <v>117</v>
      </c>
      <c r="AA4" s="33" t="s">
        <v>118</v>
      </c>
      <c r="AB4" s="33" t="s">
        <v>119</v>
      </c>
      <c r="AC4" s="33" t="s">
        <v>120</v>
      </c>
      <c r="AD4" s="33" t="s">
        <v>121</v>
      </c>
      <c r="AE4" s="33" t="s">
        <v>122</v>
      </c>
      <c r="AF4" s="33" t="s">
        <v>123</v>
      </c>
      <c r="AG4" s="33" t="s">
        <v>124</v>
      </c>
      <c r="AH4" s="33" t="s">
        <v>125</v>
      </c>
      <c r="AI4" s="33" t="s">
        <v>126</v>
      </c>
      <c r="AJ4" s="33" t="s">
        <v>127</v>
      </c>
      <c r="AK4" s="33" t="s">
        <v>128</v>
      </c>
      <c r="AL4" s="33" t="s">
        <v>129</v>
      </c>
      <c r="AM4" s="33" t="s">
        <v>130</v>
      </c>
      <c r="AN4" s="33" t="s">
        <v>131</v>
      </c>
      <c r="AO4" s="33" t="s">
        <v>132</v>
      </c>
    </row>
    <row r="6" customFormat="false" ht="19.5" hidden="false" customHeight="true" outlineLevel="0" collapsed="false">
      <c r="A6" s="34" t="s">
        <v>133</v>
      </c>
    </row>
    <row r="7" customFormat="false" ht="21.75" hidden="false" customHeight="true" outlineLevel="0" collapsed="false">
      <c r="A7" s="35" t="s">
        <v>134</v>
      </c>
      <c r="B7" s="36"/>
      <c r="C7" s="36"/>
      <c r="D7" s="37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</row>
    <row r="8" customFormat="false" ht="21.75" hidden="false" customHeight="true" outlineLevel="0" collapsed="false">
      <c r="A8" s="35" t="s">
        <v>135</v>
      </c>
      <c r="B8" s="36"/>
      <c r="C8" s="36"/>
      <c r="D8" s="36"/>
      <c r="E8" s="36"/>
      <c r="F8" s="36"/>
      <c r="G8" s="36"/>
      <c r="H8" s="38"/>
      <c r="I8" s="38"/>
      <c r="J8" s="38"/>
      <c r="K8" s="38"/>
      <c r="L8" s="38"/>
      <c r="M8" s="38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</row>
    <row r="9" customFormat="false" ht="21.75" hidden="false" customHeight="true" outlineLevel="0" collapsed="false">
      <c r="A9" s="35" t="s">
        <v>136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9"/>
      <c r="M9" s="39"/>
      <c r="N9" s="39"/>
      <c r="O9" s="39"/>
      <c r="P9" s="39"/>
      <c r="Q9" s="39"/>
      <c r="R9" s="39"/>
      <c r="S9" s="39"/>
      <c r="T9" s="39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</row>
    <row r="10" customFormat="false" ht="21.75" hidden="false" customHeight="true" outlineLevel="0" collapsed="false">
      <c r="A10" s="35" t="s">
        <v>137</v>
      </c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40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</row>
    <row r="11" customFormat="false" ht="21.75" hidden="false" customHeight="true" outlineLevel="0" collapsed="false">
      <c r="A11" s="35" t="s">
        <v>138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41"/>
      <c r="S11" s="41"/>
      <c r="T11" s="41"/>
      <c r="U11" s="41"/>
      <c r="V11" s="41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</row>
    <row r="12" customFormat="false" ht="21.75" hidden="false" customHeight="true" outlineLevel="0" collapsed="false">
      <c r="A12" s="35" t="s">
        <v>139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42"/>
      <c r="S12" s="42"/>
      <c r="T12" s="42"/>
      <c r="U12" s="42"/>
      <c r="V12" s="42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</row>
    <row r="13" customFormat="false" ht="21.75" hidden="false" customHeight="true" outlineLevel="0" collapsed="false">
      <c r="A13" s="35" t="s">
        <v>140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36"/>
      <c r="AO13" s="36"/>
    </row>
    <row r="15" customFormat="false" ht="19.5" hidden="false" customHeight="true" outlineLevel="0" collapsed="false">
      <c r="A15" s="44" t="s">
        <v>141</v>
      </c>
    </row>
    <row r="16" customFormat="false" ht="21.75" hidden="false" customHeight="true" outlineLevel="0" collapsed="false">
      <c r="A16" s="35" t="s">
        <v>142</v>
      </c>
      <c r="B16" s="36"/>
      <c r="C16" s="36"/>
      <c r="D16" s="45"/>
      <c r="E16" s="45"/>
      <c r="F16" s="45"/>
      <c r="G16" s="45"/>
      <c r="H16" s="45"/>
      <c r="I16" s="45"/>
      <c r="J16" s="45"/>
      <c r="K16" s="45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</row>
    <row r="17" customFormat="false" ht="21.75" hidden="false" customHeight="true" outlineLevel="0" collapsed="false">
      <c r="A17" s="35" t="s">
        <v>136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9"/>
      <c r="M17" s="39"/>
      <c r="N17" s="39"/>
      <c r="O17" s="39"/>
      <c r="P17" s="39"/>
      <c r="Q17" s="39"/>
      <c r="R17" s="39"/>
      <c r="S17" s="39"/>
      <c r="T17" s="39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</row>
    <row r="18" customFormat="false" ht="21.75" hidden="false" customHeight="true" outlineLevel="0" collapsed="false">
      <c r="A18" s="35" t="s">
        <v>143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46"/>
      <c r="S18" s="46"/>
      <c r="T18" s="46"/>
      <c r="U18" s="46"/>
      <c r="V18" s="4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</row>
    <row r="19" customFormat="false" ht="21.75" hidden="false" customHeight="true" outlineLevel="0" collapsed="false">
      <c r="A19" s="35" t="s">
        <v>138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41"/>
      <c r="S19" s="41"/>
      <c r="T19" s="41"/>
      <c r="U19" s="41"/>
      <c r="V19" s="41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</row>
    <row r="20" customFormat="false" ht="21.75" hidden="false" customHeight="true" outlineLevel="0" collapsed="false">
      <c r="A20" s="35" t="s">
        <v>140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36"/>
      <c r="AO20" s="36"/>
    </row>
    <row r="22" customFormat="false" ht="15" hidden="false" customHeight="false" outlineLevel="0" collapsed="false">
      <c r="A22" s="47" t="s">
        <v>144</v>
      </c>
      <c r="B22" s="48"/>
      <c r="C22" s="49" t="s">
        <v>11</v>
      </c>
      <c r="D22" s="50"/>
      <c r="E22" s="49" t="s">
        <v>15</v>
      </c>
      <c r="F22" s="51"/>
      <c r="G22" s="49" t="s">
        <v>18</v>
      </c>
      <c r="H22" s="52"/>
      <c r="I22" s="49" t="s">
        <v>21</v>
      </c>
      <c r="J22" s="53"/>
      <c r="K22" s="49" t="s">
        <v>25</v>
      </c>
      <c r="L22" s="54"/>
      <c r="M22" s="49" t="s">
        <v>29</v>
      </c>
      <c r="N22" s="55"/>
      <c r="O22" s="49" t="s">
        <v>33</v>
      </c>
      <c r="P22" s="56"/>
      <c r="Q22" s="49" t="s">
        <v>145</v>
      </c>
    </row>
  </sheetData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F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6" min="5" style="0" width="16"/>
  </cols>
  <sheetData>
    <row r="1" customFormat="false" ht="34.5" hidden="false" customHeight="true" outlineLevel="0" collapsed="false">
      <c r="A1" s="57" t="s">
        <v>146</v>
      </c>
      <c r="B1" s="57"/>
      <c r="C1" s="57"/>
      <c r="D1" s="57"/>
      <c r="E1" s="57"/>
      <c r="F1" s="57"/>
    </row>
    <row r="3" customFormat="false" ht="15" hidden="false" customHeight="false" outlineLevel="0" collapsed="false">
      <c r="A3" s="3" t="s">
        <v>2</v>
      </c>
      <c r="B3" s="3" t="s">
        <v>147</v>
      </c>
      <c r="C3" s="3" t="s">
        <v>148</v>
      </c>
      <c r="D3" s="3" t="s">
        <v>149</v>
      </c>
      <c r="E3" s="3" t="s">
        <v>150</v>
      </c>
      <c r="F3" s="3" t="s">
        <v>151</v>
      </c>
    </row>
    <row r="4" customFormat="false" ht="15" hidden="false" customHeight="false" outlineLevel="0" collapsed="false">
      <c r="A4" s="58" t="s">
        <v>11</v>
      </c>
      <c r="B4" s="59" t="s">
        <v>152</v>
      </c>
      <c r="C4" s="18" t="s">
        <v>153</v>
      </c>
      <c r="D4" s="5" t="n">
        <v>9</v>
      </c>
      <c r="E4" s="60" t="s">
        <v>154</v>
      </c>
      <c r="F4" s="61" t="n">
        <v>42.9</v>
      </c>
    </row>
    <row r="5" customFormat="false" ht="15" hidden="false" customHeight="false" outlineLevel="0" collapsed="false">
      <c r="A5" s="62" t="s">
        <v>11</v>
      </c>
      <c r="B5" s="63" t="s">
        <v>155</v>
      </c>
      <c r="C5" s="21" t="s">
        <v>153</v>
      </c>
      <c r="D5" s="8" t="n">
        <v>6</v>
      </c>
      <c r="E5" s="64" t="s">
        <v>154</v>
      </c>
      <c r="F5" s="65" t="n">
        <v>28.6</v>
      </c>
    </row>
    <row r="6" customFormat="false" ht="15" hidden="false" customHeight="false" outlineLevel="0" collapsed="false">
      <c r="A6" s="58" t="s">
        <v>11</v>
      </c>
      <c r="B6" s="59" t="s">
        <v>156</v>
      </c>
      <c r="C6" s="18" t="s">
        <v>153</v>
      </c>
      <c r="D6" s="5" t="n">
        <v>6</v>
      </c>
      <c r="E6" s="60" t="s">
        <v>154</v>
      </c>
      <c r="F6" s="61" t="n">
        <v>28.6</v>
      </c>
    </row>
    <row r="7" customFormat="false" ht="15" hidden="false" customHeight="false" outlineLevel="0" collapsed="false">
      <c r="A7" s="66" t="s">
        <v>15</v>
      </c>
      <c r="B7" s="63" t="s">
        <v>157</v>
      </c>
      <c r="C7" s="21" t="s">
        <v>153</v>
      </c>
      <c r="D7" s="8" t="n">
        <v>14</v>
      </c>
      <c r="E7" s="67" t="s">
        <v>158</v>
      </c>
      <c r="F7" s="65" t="n">
        <v>11.6</v>
      </c>
    </row>
    <row r="8" customFormat="false" ht="15" hidden="false" customHeight="false" outlineLevel="0" collapsed="false">
      <c r="A8" s="68" t="s">
        <v>15</v>
      </c>
      <c r="B8" s="59" t="s">
        <v>159</v>
      </c>
      <c r="C8" s="18" t="s">
        <v>153</v>
      </c>
      <c r="D8" s="5" t="n">
        <v>12</v>
      </c>
      <c r="E8" s="69" t="s">
        <v>158</v>
      </c>
      <c r="F8" s="61" t="n">
        <v>9.9</v>
      </c>
    </row>
    <row r="9" customFormat="false" ht="15" hidden="false" customHeight="false" outlineLevel="0" collapsed="false">
      <c r="A9" s="66" t="s">
        <v>15</v>
      </c>
      <c r="B9" s="63" t="s">
        <v>160</v>
      </c>
      <c r="C9" s="21" t="s">
        <v>153</v>
      </c>
      <c r="D9" s="8" t="n">
        <v>10</v>
      </c>
      <c r="E9" s="67" t="s">
        <v>158</v>
      </c>
      <c r="F9" s="65" t="n">
        <v>8.3</v>
      </c>
    </row>
    <row r="10" customFormat="false" ht="15" hidden="false" customHeight="false" outlineLevel="0" collapsed="false">
      <c r="A10" s="68" t="s">
        <v>15</v>
      </c>
      <c r="B10" s="59" t="s">
        <v>161</v>
      </c>
      <c r="C10" s="18" t="s">
        <v>153</v>
      </c>
      <c r="D10" s="5" t="n">
        <v>10</v>
      </c>
      <c r="E10" s="69" t="s">
        <v>158</v>
      </c>
      <c r="F10" s="61" t="n">
        <v>8.3</v>
      </c>
    </row>
    <row r="11" customFormat="false" ht="15" hidden="false" customHeight="false" outlineLevel="0" collapsed="false">
      <c r="A11" s="66" t="s">
        <v>15</v>
      </c>
      <c r="B11" s="63" t="s">
        <v>162</v>
      </c>
      <c r="C11" s="21" t="s">
        <v>153</v>
      </c>
      <c r="D11" s="8" t="n">
        <v>9</v>
      </c>
      <c r="E11" s="64" t="s">
        <v>154</v>
      </c>
      <c r="F11" s="65" t="n">
        <v>7.4</v>
      </c>
    </row>
    <row r="12" customFormat="false" ht="15" hidden="false" customHeight="false" outlineLevel="0" collapsed="false">
      <c r="A12" s="68" t="s">
        <v>15</v>
      </c>
      <c r="B12" s="59" t="s">
        <v>163</v>
      </c>
      <c r="C12" s="18" t="s">
        <v>153</v>
      </c>
      <c r="D12" s="5" t="n">
        <v>9</v>
      </c>
      <c r="E12" s="60" t="s">
        <v>154</v>
      </c>
      <c r="F12" s="61" t="n">
        <v>7.4</v>
      </c>
    </row>
    <row r="13" customFormat="false" ht="15" hidden="false" customHeight="false" outlineLevel="0" collapsed="false">
      <c r="A13" s="66" t="s">
        <v>15</v>
      </c>
      <c r="B13" s="63" t="s">
        <v>164</v>
      </c>
      <c r="C13" s="21" t="s">
        <v>153</v>
      </c>
      <c r="D13" s="8" t="n">
        <v>9</v>
      </c>
      <c r="E13" s="64" t="s">
        <v>154</v>
      </c>
      <c r="F13" s="65" t="n">
        <v>7.4</v>
      </c>
    </row>
    <row r="14" customFormat="false" ht="15" hidden="false" customHeight="false" outlineLevel="0" collapsed="false">
      <c r="A14" s="68" t="s">
        <v>15</v>
      </c>
      <c r="B14" s="59" t="s">
        <v>165</v>
      </c>
      <c r="C14" s="18" t="s">
        <v>153</v>
      </c>
      <c r="D14" s="5" t="n">
        <v>8</v>
      </c>
      <c r="E14" s="60" t="s">
        <v>154</v>
      </c>
      <c r="F14" s="61" t="n">
        <v>6.6</v>
      </c>
    </row>
    <row r="15" customFormat="false" ht="15" hidden="false" customHeight="false" outlineLevel="0" collapsed="false">
      <c r="A15" s="66" t="s">
        <v>15</v>
      </c>
      <c r="B15" s="63" t="s">
        <v>166</v>
      </c>
      <c r="C15" s="21" t="s">
        <v>153</v>
      </c>
      <c r="D15" s="8" t="n">
        <v>8</v>
      </c>
      <c r="E15" s="64" t="s">
        <v>154</v>
      </c>
      <c r="F15" s="65" t="n">
        <v>6.6</v>
      </c>
    </row>
    <row r="16" customFormat="false" ht="15" hidden="false" customHeight="false" outlineLevel="0" collapsed="false">
      <c r="A16" s="68" t="s">
        <v>15</v>
      </c>
      <c r="B16" s="59" t="s">
        <v>167</v>
      </c>
      <c r="C16" s="18" t="s">
        <v>153</v>
      </c>
      <c r="D16" s="5" t="n">
        <v>8</v>
      </c>
      <c r="E16" s="60" t="s">
        <v>154</v>
      </c>
      <c r="F16" s="61" t="n">
        <v>6.6</v>
      </c>
    </row>
    <row r="17" customFormat="false" ht="15" hidden="false" customHeight="false" outlineLevel="0" collapsed="false">
      <c r="A17" s="66" t="s">
        <v>15</v>
      </c>
      <c r="B17" s="63" t="s">
        <v>168</v>
      </c>
      <c r="C17" s="21" t="s">
        <v>153</v>
      </c>
      <c r="D17" s="8" t="n">
        <v>7</v>
      </c>
      <c r="E17" s="64" t="s">
        <v>154</v>
      </c>
      <c r="F17" s="65" t="n">
        <v>5.8</v>
      </c>
    </row>
    <row r="18" customFormat="false" ht="15" hidden="false" customHeight="false" outlineLevel="0" collapsed="false">
      <c r="A18" s="68" t="s">
        <v>15</v>
      </c>
      <c r="B18" s="59" t="s">
        <v>169</v>
      </c>
      <c r="C18" s="18" t="s">
        <v>153</v>
      </c>
      <c r="D18" s="5" t="n">
        <v>7</v>
      </c>
      <c r="E18" s="60" t="s">
        <v>154</v>
      </c>
      <c r="F18" s="61" t="n">
        <v>5.8</v>
      </c>
    </row>
    <row r="19" customFormat="false" ht="15" hidden="false" customHeight="false" outlineLevel="0" collapsed="false">
      <c r="A19" s="66" t="s">
        <v>15</v>
      </c>
      <c r="B19" s="63" t="s">
        <v>170</v>
      </c>
      <c r="C19" s="21" t="s">
        <v>153</v>
      </c>
      <c r="D19" s="8" t="n">
        <v>6</v>
      </c>
      <c r="E19" s="64" t="s">
        <v>154</v>
      </c>
      <c r="F19" s="65" t="n">
        <v>5</v>
      </c>
    </row>
    <row r="20" customFormat="false" ht="15" hidden="false" customHeight="false" outlineLevel="0" collapsed="false">
      <c r="A20" s="68" t="s">
        <v>15</v>
      </c>
      <c r="B20" s="59" t="s">
        <v>171</v>
      </c>
      <c r="C20" s="18" t="s">
        <v>153</v>
      </c>
      <c r="D20" s="5" t="n">
        <v>4</v>
      </c>
      <c r="E20" s="70" t="s">
        <v>172</v>
      </c>
      <c r="F20" s="61" t="n">
        <v>3.3</v>
      </c>
    </row>
    <row r="21" customFormat="false" ht="15" hidden="false" customHeight="false" outlineLevel="0" collapsed="false">
      <c r="A21" s="71" t="s">
        <v>21</v>
      </c>
      <c r="B21" s="63" t="s">
        <v>173</v>
      </c>
      <c r="C21" s="21" t="s">
        <v>153</v>
      </c>
      <c r="D21" s="8" t="n">
        <v>13</v>
      </c>
      <c r="E21" s="67" t="s">
        <v>158</v>
      </c>
      <c r="F21" s="65" t="n">
        <v>44.8</v>
      </c>
    </row>
    <row r="22" customFormat="false" ht="15" hidden="false" customHeight="false" outlineLevel="0" collapsed="false">
      <c r="A22" s="72" t="s">
        <v>21</v>
      </c>
      <c r="B22" s="59" t="s">
        <v>174</v>
      </c>
      <c r="C22" s="18" t="s">
        <v>153</v>
      </c>
      <c r="D22" s="5" t="n">
        <v>7</v>
      </c>
      <c r="E22" s="60" t="s">
        <v>154</v>
      </c>
      <c r="F22" s="61" t="n">
        <v>24.1</v>
      </c>
    </row>
    <row r="23" customFormat="false" ht="15" hidden="false" customHeight="false" outlineLevel="0" collapsed="false">
      <c r="A23" s="71" t="s">
        <v>21</v>
      </c>
      <c r="B23" s="63" t="s">
        <v>175</v>
      </c>
      <c r="C23" s="21" t="s">
        <v>153</v>
      </c>
      <c r="D23" s="8" t="n">
        <v>5</v>
      </c>
      <c r="E23" s="64" t="s">
        <v>154</v>
      </c>
      <c r="F23" s="65" t="n">
        <v>17.2</v>
      </c>
    </row>
    <row r="24" customFormat="false" ht="15" hidden="false" customHeight="false" outlineLevel="0" collapsed="false">
      <c r="A24" s="72" t="s">
        <v>21</v>
      </c>
      <c r="B24" s="59" t="s">
        <v>176</v>
      </c>
      <c r="C24" s="18" t="s">
        <v>153</v>
      </c>
      <c r="D24" s="5" t="n">
        <v>4</v>
      </c>
      <c r="E24" s="70" t="s">
        <v>172</v>
      </c>
      <c r="F24" s="61" t="n">
        <v>13.8</v>
      </c>
    </row>
    <row r="25" customFormat="false" ht="15" hidden="false" customHeight="false" outlineLevel="0" collapsed="false">
      <c r="A25" s="73" t="s">
        <v>25</v>
      </c>
      <c r="B25" s="63" t="s">
        <v>177</v>
      </c>
      <c r="C25" s="21" t="s">
        <v>153</v>
      </c>
      <c r="D25" s="8" t="n">
        <v>11</v>
      </c>
      <c r="E25" s="67" t="s">
        <v>158</v>
      </c>
      <c r="F25" s="65" t="n">
        <v>4.9</v>
      </c>
    </row>
    <row r="26" customFormat="false" ht="15" hidden="false" customHeight="false" outlineLevel="0" collapsed="false">
      <c r="A26" s="74" t="s">
        <v>25</v>
      </c>
      <c r="B26" s="59" t="s">
        <v>178</v>
      </c>
      <c r="C26" s="18" t="s">
        <v>153</v>
      </c>
      <c r="D26" s="5" t="n">
        <v>10</v>
      </c>
      <c r="E26" s="69" t="s">
        <v>158</v>
      </c>
      <c r="F26" s="61" t="n">
        <v>4.4</v>
      </c>
    </row>
    <row r="27" customFormat="false" ht="15" hidden="false" customHeight="false" outlineLevel="0" collapsed="false">
      <c r="A27" s="73" t="s">
        <v>25</v>
      </c>
      <c r="B27" s="63" t="s">
        <v>179</v>
      </c>
      <c r="C27" s="21" t="s">
        <v>153</v>
      </c>
      <c r="D27" s="8" t="n">
        <v>10</v>
      </c>
      <c r="E27" s="67" t="s">
        <v>158</v>
      </c>
      <c r="F27" s="65" t="n">
        <v>4.4</v>
      </c>
    </row>
    <row r="28" customFormat="false" ht="15" hidden="false" customHeight="false" outlineLevel="0" collapsed="false">
      <c r="A28" s="74" t="s">
        <v>25</v>
      </c>
      <c r="B28" s="59" t="s">
        <v>180</v>
      </c>
      <c r="C28" s="18" t="s">
        <v>153</v>
      </c>
      <c r="D28" s="5" t="n">
        <v>9</v>
      </c>
      <c r="E28" s="60" t="s">
        <v>154</v>
      </c>
      <c r="F28" s="61" t="n">
        <v>4</v>
      </c>
    </row>
    <row r="29" customFormat="false" ht="15" hidden="false" customHeight="false" outlineLevel="0" collapsed="false">
      <c r="A29" s="73" t="s">
        <v>25</v>
      </c>
      <c r="B29" s="63" t="s">
        <v>181</v>
      </c>
      <c r="C29" s="21" t="s">
        <v>153</v>
      </c>
      <c r="D29" s="8" t="n">
        <v>9</v>
      </c>
      <c r="E29" s="64" t="s">
        <v>154</v>
      </c>
      <c r="F29" s="65" t="n">
        <v>4</v>
      </c>
    </row>
    <row r="30" customFormat="false" ht="15" hidden="false" customHeight="false" outlineLevel="0" collapsed="false">
      <c r="A30" s="74" t="s">
        <v>25</v>
      </c>
      <c r="B30" s="59" t="s">
        <v>182</v>
      </c>
      <c r="C30" s="18" t="s">
        <v>153</v>
      </c>
      <c r="D30" s="5" t="n">
        <v>9</v>
      </c>
      <c r="E30" s="60" t="s">
        <v>154</v>
      </c>
      <c r="F30" s="61" t="n">
        <v>4</v>
      </c>
    </row>
    <row r="31" customFormat="false" ht="15" hidden="false" customHeight="false" outlineLevel="0" collapsed="false">
      <c r="A31" s="73" t="s">
        <v>25</v>
      </c>
      <c r="B31" s="63" t="s">
        <v>183</v>
      </c>
      <c r="C31" s="21" t="s">
        <v>153</v>
      </c>
      <c r="D31" s="8" t="n">
        <v>9</v>
      </c>
      <c r="E31" s="64" t="s">
        <v>154</v>
      </c>
      <c r="F31" s="65" t="n">
        <v>4</v>
      </c>
    </row>
    <row r="32" customFormat="false" ht="15" hidden="false" customHeight="false" outlineLevel="0" collapsed="false">
      <c r="A32" s="74" t="s">
        <v>25</v>
      </c>
      <c r="B32" s="59" t="s">
        <v>184</v>
      </c>
      <c r="C32" s="18" t="s">
        <v>153</v>
      </c>
      <c r="D32" s="5" t="n">
        <v>8</v>
      </c>
      <c r="E32" s="60" t="s">
        <v>154</v>
      </c>
      <c r="F32" s="61" t="n">
        <v>3.5</v>
      </c>
    </row>
    <row r="33" customFormat="false" ht="15" hidden="false" customHeight="false" outlineLevel="0" collapsed="false">
      <c r="A33" s="73" t="s">
        <v>25</v>
      </c>
      <c r="B33" s="63" t="s">
        <v>185</v>
      </c>
      <c r="C33" s="21" t="s">
        <v>153</v>
      </c>
      <c r="D33" s="8" t="n">
        <v>7</v>
      </c>
      <c r="E33" s="64" t="s">
        <v>154</v>
      </c>
      <c r="F33" s="65" t="n">
        <v>3.1</v>
      </c>
    </row>
    <row r="34" customFormat="false" ht="15" hidden="false" customHeight="false" outlineLevel="0" collapsed="false">
      <c r="A34" s="74" t="s">
        <v>25</v>
      </c>
      <c r="B34" s="59" t="s">
        <v>186</v>
      </c>
      <c r="C34" s="18" t="s">
        <v>153</v>
      </c>
      <c r="D34" s="5" t="n">
        <v>7</v>
      </c>
      <c r="E34" s="60" t="s">
        <v>154</v>
      </c>
      <c r="F34" s="61" t="n">
        <v>3.1</v>
      </c>
    </row>
    <row r="35" customFormat="false" ht="15" hidden="false" customHeight="false" outlineLevel="0" collapsed="false">
      <c r="A35" s="73" t="s">
        <v>25</v>
      </c>
      <c r="B35" s="63" t="s">
        <v>187</v>
      </c>
      <c r="C35" s="21" t="s">
        <v>153</v>
      </c>
      <c r="D35" s="8" t="n">
        <v>7</v>
      </c>
      <c r="E35" s="64" t="s">
        <v>154</v>
      </c>
      <c r="F35" s="65" t="n">
        <v>3.1</v>
      </c>
    </row>
    <row r="36" customFormat="false" ht="15" hidden="false" customHeight="false" outlineLevel="0" collapsed="false">
      <c r="A36" s="74" t="s">
        <v>25</v>
      </c>
      <c r="B36" s="59" t="s">
        <v>188</v>
      </c>
      <c r="C36" s="18" t="s">
        <v>153</v>
      </c>
      <c r="D36" s="5" t="n">
        <v>7</v>
      </c>
      <c r="E36" s="60" t="s">
        <v>154</v>
      </c>
      <c r="F36" s="61" t="n">
        <v>3.1</v>
      </c>
    </row>
    <row r="37" customFormat="false" ht="15" hidden="false" customHeight="false" outlineLevel="0" collapsed="false">
      <c r="A37" s="73" t="s">
        <v>25</v>
      </c>
      <c r="B37" s="63" t="s">
        <v>189</v>
      </c>
      <c r="C37" s="21" t="s">
        <v>153</v>
      </c>
      <c r="D37" s="8" t="n">
        <v>7</v>
      </c>
      <c r="E37" s="64" t="s">
        <v>154</v>
      </c>
      <c r="F37" s="65" t="n">
        <v>3.1</v>
      </c>
    </row>
    <row r="38" customFormat="false" ht="15" hidden="false" customHeight="false" outlineLevel="0" collapsed="false">
      <c r="A38" s="74" t="s">
        <v>25</v>
      </c>
      <c r="B38" s="59" t="s">
        <v>190</v>
      </c>
      <c r="C38" s="18" t="s">
        <v>153</v>
      </c>
      <c r="D38" s="5" t="n">
        <v>7</v>
      </c>
      <c r="E38" s="60" t="s">
        <v>154</v>
      </c>
      <c r="F38" s="61" t="n">
        <v>3.1</v>
      </c>
    </row>
    <row r="39" customFormat="false" ht="15" hidden="false" customHeight="false" outlineLevel="0" collapsed="false">
      <c r="A39" s="73" t="s">
        <v>25</v>
      </c>
      <c r="B39" s="63" t="s">
        <v>191</v>
      </c>
      <c r="C39" s="21" t="s">
        <v>153</v>
      </c>
      <c r="D39" s="8" t="n">
        <v>7</v>
      </c>
      <c r="E39" s="64" t="s">
        <v>154</v>
      </c>
      <c r="F39" s="65" t="n">
        <v>3.1</v>
      </c>
    </row>
    <row r="40" customFormat="false" ht="15" hidden="false" customHeight="false" outlineLevel="0" collapsed="false">
      <c r="A40" s="74" t="s">
        <v>25</v>
      </c>
      <c r="B40" s="59" t="s">
        <v>192</v>
      </c>
      <c r="C40" s="18" t="s">
        <v>153</v>
      </c>
      <c r="D40" s="5" t="n">
        <v>7</v>
      </c>
      <c r="E40" s="60" t="s">
        <v>154</v>
      </c>
      <c r="F40" s="61" t="n">
        <v>3.1</v>
      </c>
    </row>
    <row r="41" customFormat="false" ht="15" hidden="false" customHeight="false" outlineLevel="0" collapsed="false">
      <c r="A41" s="73" t="s">
        <v>25</v>
      </c>
      <c r="B41" s="63" t="s">
        <v>193</v>
      </c>
      <c r="C41" s="21" t="s">
        <v>153</v>
      </c>
      <c r="D41" s="8" t="n">
        <v>7</v>
      </c>
      <c r="E41" s="64" t="s">
        <v>154</v>
      </c>
      <c r="F41" s="65" t="n">
        <v>3.1</v>
      </c>
    </row>
    <row r="42" customFormat="false" ht="15" hidden="false" customHeight="false" outlineLevel="0" collapsed="false">
      <c r="A42" s="74" t="s">
        <v>25</v>
      </c>
      <c r="B42" s="59" t="s">
        <v>194</v>
      </c>
      <c r="C42" s="18" t="s">
        <v>153</v>
      </c>
      <c r="D42" s="5" t="n">
        <v>7</v>
      </c>
      <c r="E42" s="60" t="s">
        <v>154</v>
      </c>
      <c r="F42" s="61" t="n">
        <v>3.1</v>
      </c>
    </row>
    <row r="43" customFormat="false" ht="15" hidden="false" customHeight="false" outlineLevel="0" collapsed="false">
      <c r="A43" s="73" t="s">
        <v>25</v>
      </c>
      <c r="B43" s="63" t="s">
        <v>195</v>
      </c>
      <c r="C43" s="21" t="s">
        <v>153</v>
      </c>
      <c r="D43" s="8" t="n">
        <v>6</v>
      </c>
      <c r="E43" s="64" t="s">
        <v>154</v>
      </c>
      <c r="F43" s="65" t="n">
        <v>2.7</v>
      </c>
    </row>
    <row r="44" customFormat="false" ht="15" hidden="false" customHeight="false" outlineLevel="0" collapsed="false">
      <c r="A44" s="74" t="s">
        <v>25</v>
      </c>
      <c r="B44" s="59" t="s">
        <v>196</v>
      </c>
      <c r="C44" s="18" t="s">
        <v>153</v>
      </c>
      <c r="D44" s="5" t="n">
        <v>6</v>
      </c>
      <c r="E44" s="60" t="s">
        <v>154</v>
      </c>
      <c r="F44" s="61" t="n">
        <v>2.7</v>
      </c>
    </row>
    <row r="45" customFormat="false" ht="15" hidden="false" customHeight="false" outlineLevel="0" collapsed="false">
      <c r="A45" s="73" t="s">
        <v>25</v>
      </c>
      <c r="B45" s="63" t="s">
        <v>197</v>
      </c>
      <c r="C45" s="21" t="s">
        <v>153</v>
      </c>
      <c r="D45" s="8" t="n">
        <v>6</v>
      </c>
      <c r="E45" s="64" t="s">
        <v>154</v>
      </c>
      <c r="F45" s="65" t="n">
        <v>2.7</v>
      </c>
    </row>
    <row r="46" customFormat="false" ht="15" hidden="false" customHeight="false" outlineLevel="0" collapsed="false">
      <c r="A46" s="74" t="s">
        <v>25</v>
      </c>
      <c r="B46" s="59" t="s">
        <v>198</v>
      </c>
      <c r="C46" s="18" t="s">
        <v>153</v>
      </c>
      <c r="D46" s="5" t="n">
        <v>6</v>
      </c>
      <c r="E46" s="60" t="s">
        <v>154</v>
      </c>
      <c r="F46" s="61" t="n">
        <v>2.7</v>
      </c>
    </row>
    <row r="47" customFormat="false" ht="15" hidden="false" customHeight="false" outlineLevel="0" collapsed="false">
      <c r="A47" s="73" t="s">
        <v>25</v>
      </c>
      <c r="B47" s="63" t="s">
        <v>199</v>
      </c>
      <c r="C47" s="21" t="s">
        <v>153</v>
      </c>
      <c r="D47" s="8" t="n">
        <v>6</v>
      </c>
      <c r="E47" s="64" t="s">
        <v>154</v>
      </c>
      <c r="F47" s="65" t="n">
        <v>2.7</v>
      </c>
    </row>
    <row r="48" customFormat="false" ht="15" hidden="false" customHeight="false" outlineLevel="0" collapsed="false">
      <c r="A48" s="74" t="s">
        <v>25</v>
      </c>
      <c r="B48" s="59" t="s">
        <v>200</v>
      </c>
      <c r="C48" s="18" t="s">
        <v>153</v>
      </c>
      <c r="D48" s="5" t="n">
        <v>6</v>
      </c>
      <c r="E48" s="60" t="s">
        <v>154</v>
      </c>
      <c r="F48" s="61" t="n">
        <v>2.7</v>
      </c>
    </row>
    <row r="49" customFormat="false" ht="15" hidden="false" customHeight="false" outlineLevel="0" collapsed="false">
      <c r="A49" s="73" t="s">
        <v>25</v>
      </c>
      <c r="B49" s="63" t="s">
        <v>201</v>
      </c>
      <c r="C49" s="21" t="s">
        <v>153</v>
      </c>
      <c r="D49" s="8" t="n">
        <v>5</v>
      </c>
      <c r="E49" s="64" t="s">
        <v>154</v>
      </c>
      <c r="F49" s="65" t="n">
        <v>2.2</v>
      </c>
    </row>
    <row r="50" customFormat="false" ht="15" hidden="false" customHeight="false" outlineLevel="0" collapsed="false">
      <c r="A50" s="74" t="s">
        <v>25</v>
      </c>
      <c r="B50" s="59" t="s">
        <v>202</v>
      </c>
      <c r="C50" s="18" t="s">
        <v>153</v>
      </c>
      <c r="D50" s="5" t="n">
        <v>5</v>
      </c>
      <c r="E50" s="60" t="s">
        <v>154</v>
      </c>
      <c r="F50" s="61" t="n">
        <v>2.2</v>
      </c>
    </row>
    <row r="51" customFormat="false" ht="15" hidden="false" customHeight="false" outlineLevel="0" collapsed="false">
      <c r="A51" s="73" t="s">
        <v>25</v>
      </c>
      <c r="B51" s="63" t="s">
        <v>203</v>
      </c>
      <c r="C51" s="21" t="s">
        <v>153</v>
      </c>
      <c r="D51" s="8" t="n">
        <v>4</v>
      </c>
      <c r="E51" s="75" t="s">
        <v>172</v>
      </c>
      <c r="F51" s="65" t="n">
        <v>1.8</v>
      </c>
    </row>
    <row r="52" customFormat="false" ht="15" hidden="false" customHeight="false" outlineLevel="0" collapsed="false">
      <c r="A52" s="74" t="s">
        <v>25</v>
      </c>
      <c r="B52" s="59" t="s">
        <v>204</v>
      </c>
      <c r="C52" s="18" t="s">
        <v>153</v>
      </c>
      <c r="D52" s="5" t="n">
        <v>4</v>
      </c>
      <c r="E52" s="70" t="s">
        <v>172</v>
      </c>
      <c r="F52" s="61" t="n">
        <v>1.8</v>
      </c>
    </row>
    <row r="53" customFormat="false" ht="15" hidden="false" customHeight="false" outlineLevel="0" collapsed="false">
      <c r="A53" s="73" t="s">
        <v>25</v>
      </c>
      <c r="B53" s="63" t="s">
        <v>205</v>
      </c>
      <c r="C53" s="21" t="s">
        <v>153</v>
      </c>
      <c r="D53" s="8" t="n">
        <v>4</v>
      </c>
      <c r="E53" s="75" t="s">
        <v>172</v>
      </c>
      <c r="F53" s="65" t="n">
        <v>1.8</v>
      </c>
    </row>
    <row r="54" customFormat="false" ht="15" hidden="false" customHeight="false" outlineLevel="0" collapsed="false">
      <c r="A54" s="74" t="s">
        <v>25</v>
      </c>
      <c r="B54" s="59" t="s">
        <v>206</v>
      </c>
      <c r="C54" s="18" t="s">
        <v>153</v>
      </c>
      <c r="D54" s="5" t="n">
        <v>4</v>
      </c>
      <c r="E54" s="70" t="s">
        <v>172</v>
      </c>
      <c r="F54" s="61" t="n">
        <v>1.8</v>
      </c>
    </row>
    <row r="55" customFormat="false" ht="15" hidden="false" customHeight="false" outlineLevel="0" collapsed="false">
      <c r="A55" s="73" t="s">
        <v>25</v>
      </c>
      <c r="B55" s="63" t="s">
        <v>207</v>
      </c>
      <c r="C55" s="21" t="s">
        <v>153</v>
      </c>
      <c r="D55" s="8" t="n">
        <v>4</v>
      </c>
      <c r="E55" s="75" t="s">
        <v>172</v>
      </c>
      <c r="F55" s="65" t="n">
        <v>1.8</v>
      </c>
    </row>
    <row r="56" customFormat="false" ht="15" hidden="false" customHeight="false" outlineLevel="0" collapsed="false">
      <c r="A56" s="74" t="s">
        <v>25</v>
      </c>
      <c r="B56" s="59" t="s">
        <v>208</v>
      </c>
      <c r="C56" s="18" t="s">
        <v>153</v>
      </c>
      <c r="D56" s="5" t="n">
        <v>4</v>
      </c>
      <c r="E56" s="70" t="s">
        <v>172</v>
      </c>
      <c r="F56" s="61" t="n">
        <v>1.8</v>
      </c>
    </row>
    <row r="57" customFormat="false" ht="15" hidden="false" customHeight="false" outlineLevel="0" collapsed="false">
      <c r="A57" s="73" t="s">
        <v>25</v>
      </c>
      <c r="B57" s="63" t="s">
        <v>209</v>
      </c>
      <c r="C57" s="21" t="s">
        <v>153</v>
      </c>
      <c r="D57" s="8" t="n">
        <v>3</v>
      </c>
      <c r="E57" s="75" t="s">
        <v>172</v>
      </c>
      <c r="F57" s="65" t="n">
        <v>1.3</v>
      </c>
    </row>
    <row r="58" customFormat="false" ht="15" hidden="false" customHeight="false" outlineLevel="0" collapsed="false">
      <c r="A58" s="74" t="s">
        <v>25</v>
      </c>
      <c r="B58" s="59" t="s">
        <v>210</v>
      </c>
      <c r="C58" s="18" t="s">
        <v>153</v>
      </c>
      <c r="D58" s="5" t="n">
        <v>3</v>
      </c>
      <c r="E58" s="70" t="s">
        <v>172</v>
      </c>
      <c r="F58" s="61" t="n">
        <v>1.3</v>
      </c>
    </row>
    <row r="59" customFormat="false" ht="15" hidden="false" customHeight="false" outlineLevel="0" collapsed="false">
      <c r="A59" s="73" t="s">
        <v>25</v>
      </c>
      <c r="B59" s="63" t="s">
        <v>211</v>
      </c>
      <c r="C59" s="21" t="s">
        <v>153</v>
      </c>
      <c r="D59" s="8" t="n">
        <v>3</v>
      </c>
      <c r="E59" s="75" t="s">
        <v>172</v>
      </c>
      <c r="F59" s="65" t="n">
        <v>1.3</v>
      </c>
    </row>
    <row r="60" customFormat="false" ht="15" hidden="false" customHeight="false" outlineLevel="0" collapsed="false">
      <c r="A60" s="74" t="s">
        <v>25</v>
      </c>
      <c r="B60" s="59" t="s">
        <v>212</v>
      </c>
      <c r="C60" s="18" t="s">
        <v>153</v>
      </c>
      <c r="D60" s="5" t="n">
        <v>2</v>
      </c>
      <c r="E60" s="70" t="s">
        <v>172</v>
      </c>
      <c r="F60" s="61" t="n">
        <v>0.9</v>
      </c>
    </row>
    <row r="61" customFormat="false" ht="15" hidden="false" customHeight="false" outlineLevel="0" collapsed="false">
      <c r="A61" s="76" t="s">
        <v>33</v>
      </c>
      <c r="B61" s="63" t="s">
        <v>213</v>
      </c>
      <c r="C61" s="21" t="s">
        <v>153</v>
      </c>
      <c r="D61" s="8" t="n">
        <v>20</v>
      </c>
      <c r="E61" s="67" t="s">
        <v>158</v>
      </c>
      <c r="F61" s="65" t="n">
        <v>10.8</v>
      </c>
    </row>
    <row r="62" customFormat="false" ht="15" hidden="false" customHeight="false" outlineLevel="0" collapsed="false">
      <c r="A62" s="77" t="s">
        <v>33</v>
      </c>
      <c r="B62" s="59" t="s">
        <v>214</v>
      </c>
      <c r="C62" s="18" t="s">
        <v>153</v>
      </c>
      <c r="D62" s="5" t="n">
        <v>17</v>
      </c>
      <c r="E62" s="69" t="s">
        <v>158</v>
      </c>
      <c r="F62" s="61" t="n">
        <v>9.2</v>
      </c>
    </row>
    <row r="63" customFormat="false" ht="15" hidden="false" customHeight="false" outlineLevel="0" collapsed="false">
      <c r="A63" s="76" t="s">
        <v>33</v>
      </c>
      <c r="B63" s="63" t="s">
        <v>180</v>
      </c>
      <c r="C63" s="21" t="s">
        <v>153</v>
      </c>
      <c r="D63" s="8" t="n">
        <v>17</v>
      </c>
      <c r="E63" s="67" t="s">
        <v>158</v>
      </c>
      <c r="F63" s="65" t="n">
        <v>9.2</v>
      </c>
    </row>
    <row r="64" customFormat="false" ht="15" hidden="false" customHeight="false" outlineLevel="0" collapsed="false">
      <c r="A64" s="77" t="s">
        <v>33</v>
      </c>
      <c r="B64" s="59" t="s">
        <v>215</v>
      </c>
      <c r="C64" s="18" t="s">
        <v>153</v>
      </c>
      <c r="D64" s="5" t="n">
        <v>15</v>
      </c>
      <c r="E64" s="69" t="s">
        <v>158</v>
      </c>
      <c r="F64" s="61" t="n">
        <v>8.1</v>
      </c>
    </row>
    <row r="65" customFormat="false" ht="15" hidden="false" customHeight="false" outlineLevel="0" collapsed="false">
      <c r="A65" s="76" t="s">
        <v>33</v>
      </c>
      <c r="B65" s="63" t="s">
        <v>216</v>
      </c>
      <c r="C65" s="21" t="s">
        <v>153</v>
      </c>
      <c r="D65" s="8" t="n">
        <v>15</v>
      </c>
      <c r="E65" s="67" t="s">
        <v>158</v>
      </c>
      <c r="F65" s="65" t="n">
        <v>8.1</v>
      </c>
    </row>
    <row r="66" customFormat="false" ht="15" hidden="false" customHeight="false" outlineLevel="0" collapsed="false">
      <c r="A66" s="77" t="s">
        <v>33</v>
      </c>
      <c r="B66" s="59" t="s">
        <v>217</v>
      </c>
      <c r="C66" s="18" t="s">
        <v>153</v>
      </c>
      <c r="D66" s="5" t="n">
        <v>14</v>
      </c>
      <c r="E66" s="69" t="s">
        <v>158</v>
      </c>
      <c r="F66" s="61" t="n">
        <v>7.6</v>
      </c>
    </row>
    <row r="67" customFormat="false" ht="15" hidden="false" customHeight="false" outlineLevel="0" collapsed="false">
      <c r="A67" s="76" t="s">
        <v>33</v>
      </c>
      <c r="B67" s="63" t="s">
        <v>218</v>
      </c>
      <c r="C67" s="21" t="s">
        <v>153</v>
      </c>
      <c r="D67" s="8" t="n">
        <v>11</v>
      </c>
      <c r="E67" s="67" t="s">
        <v>158</v>
      </c>
      <c r="F67" s="65" t="n">
        <v>5.9</v>
      </c>
    </row>
    <row r="68" customFormat="false" ht="15" hidden="false" customHeight="false" outlineLevel="0" collapsed="false">
      <c r="A68" s="77" t="s">
        <v>33</v>
      </c>
      <c r="B68" s="59" t="s">
        <v>219</v>
      </c>
      <c r="C68" s="18" t="s">
        <v>153</v>
      </c>
      <c r="D68" s="5" t="n">
        <v>11</v>
      </c>
      <c r="E68" s="69" t="s">
        <v>158</v>
      </c>
      <c r="F68" s="61" t="n">
        <v>5.9</v>
      </c>
    </row>
    <row r="69" customFormat="false" ht="15" hidden="false" customHeight="false" outlineLevel="0" collapsed="false">
      <c r="A69" s="76" t="s">
        <v>33</v>
      </c>
      <c r="B69" s="63" t="s">
        <v>220</v>
      </c>
      <c r="C69" s="21" t="s">
        <v>153</v>
      </c>
      <c r="D69" s="8" t="n">
        <v>10</v>
      </c>
      <c r="E69" s="67" t="s">
        <v>158</v>
      </c>
      <c r="F69" s="65" t="n">
        <v>5.4</v>
      </c>
    </row>
    <row r="70" customFormat="false" ht="15" hidden="false" customHeight="false" outlineLevel="0" collapsed="false">
      <c r="A70" s="77" t="s">
        <v>33</v>
      </c>
      <c r="B70" s="59" t="s">
        <v>221</v>
      </c>
      <c r="C70" s="18" t="s">
        <v>153</v>
      </c>
      <c r="D70" s="5" t="n">
        <v>10</v>
      </c>
      <c r="E70" s="69" t="s">
        <v>158</v>
      </c>
      <c r="F70" s="61" t="n">
        <v>5.4</v>
      </c>
    </row>
    <row r="71" customFormat="false" ht="15" hidden="false" customHeight="false" outlineLevel="0" collapsed="false">
      <c r="A71" s="76" t="s">
        <v>33</v>
      </c>
      <c r="B71" s="63" t="s">
        <v>222</v>
      </c>
      <c r="C71" s="21" t="s">
        <v>153</v>
      </c>
      <c r="D71" s="8" t="n">
        <v>10</v>
      </c>
      <c r="E71" s="67" t="s">
        <v>158</v>
      </c>
      <c r="F71" s="65" t="n">
        <v>5.4</v>
      </c>
    </row>
    <row r="72" customFormat="false" ht="15" hidden="false" customHeight="false" outlineLevel="0" collapsed="false">
      <c r="A72" s="77" t="s">
        <v>33</v>
      </c>
      <c r="B72" s="59" t="s">
        <v>223</v>
      </c>
      <c r="C72" s="18" t="s">
        <v>153</v>
      </c>
      <c r="D72" s="5" t="n">
        <v>9</v>
      </c>
      <c r="E72" s="60" t="s">
        <v>154</v>
      </c>
      <c r="F72" s="61" t="n">
        <v>4.9</v>
      </c>
    </row>
    <row r="73" customFormat="false" ht="15" hidden="false" customHeight="false" outlineLevel="0" collapsed="false">
      <c r="A73" s="76" t="s">
        <v>33</v>
      </c>
      <c r="B73" s="63" t="s">
        <v>224</v>
      </c>
      <c r="C73" s="21" t="s">
        <v>153</v>
      </c>
      <c r="D73" s="8" t="n">
        <v>9</v>
      </c>
      <c r="E73" s="64" t="s">
        <v>154</v>
      </c>
      <c r="F73" s="65" t="n">
        <v>4.9</v>
      </c>
    </row>
    <row r="74" customFormat="false" ht="15" hidden="false" customHeight="false" outlineLevel="0" collapsed="false">
      <c r="A74" s="77" t="s">
        <v>33</v>
      </c>
      <c r="B74" s="59" t="s">
        <v>225</v>
      </c>
      <c r="C74" s="18" t="s">
        <v>153</v>
      </c>
      <c r="D74" s="5" t="n">
        <v>5</v>
      </c>
      <c r="E74" s="60" t="s">
        <v>154</v>
      </c>
      <c r="F74" s="61" t="n">
        <v>2.7</v>
      </c>
    </row>
    <row r="75" customFormat="false" ht="15" hidden="false" customHeight="false" outlineLevel="0" collapsed="false">
      <c r="A75" s="76" t="s">
        <v>33</v>
      </c>
      <c r="B75" s="63" t="s">
        <v>226</v>
      </c>
      <c r="C75" s="21" t="s">
        <v>153</v>
      </c>
      <c r="D75" s="8" t="n">
        <v>4</v>
      </c>
      <c r="E75" s="75" t="s">
        <v>172</v>
      </c>
      <c r="F75" s="65" t="n">
        <v>2.2</v>
      </c>
    </row>
    <row r="76" customFormat="false" ht="15" hidden="false" customHeight="false" outlineLevel="0" collapsed="false">
      <c r="A76" s="77" t="s">
        <v>33</v>
      </c>
      <c r="B76" s="59" t="s">
        <v>227</v>
      </c>
      <c r="C76" s="18" t="s">
        <v>153</v>
      </c>
      <c r="D76" s="5" t="n">
        <v>4</v>
      </c>
      <c r="E76" s="70" t="s">
        <v>172</v>
      </c>
      <c r="F76" s="61" t="n">
        <v>2.2</v>
      </c>
    </row>
    <row r="77" customFormat="false" ht="15" hidden="false" customHeight="false" outlineLevel="0" collapsed="false">
      <c r="A77" s="76" t="s">
        <v>33</v>
      </c>
      <c r="B77" s="63" t="s">
        <v>228</v>
      </c>
      <c r="C77" s="21" t="s">
        <v>153</v>
      </c>
      <c r="D77" s="8" t="n">
        <v>4</v>
      </c>
      <c r="E77" s="75" t="s">
        <v>172</v>
      </c>
      <c r="F77" s="65" t="n">
        <v>2.2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39.75" hidden="false" customHeight="true" outlineLevel="0" collapsed="false">
      <c r="A1" s="78" t="s">
        <v>229</v>
      </c>
      <c r="B1" s="78"/>
      <c r="C1" s="78"/>
      <c r="D1" s="78"/>
      <c r="E1" s="78"/>
      <c r="F1" s="78"/>
      <c r="G1" s="78"/>
    </row>
    <row r="3" customFormat="false" ht="16.15" hidden="false" customHeight="false" outlineLevel="0" collapsed="false">
      <c r="A3" s="79" t="s">
        <v>230</v>
      </c>
      <c r="B3" s="79"/>
      <c r="C3" s="79"/>
      <c r="D3" s="79"/>
      <c r="E3" s="79"/>
      <c r="F3" s="79"/>
      <c r="G3" s="79"/>
    </row>
    <row r="5" customFormat="false" ht="15" hidden="false" customHeight="false" outlineLevel="0" collapsed="false">
      <c r="A5" s="3" t="s">
        <v>231</v>
      </c>
      <c r="B5" s="3" t="s">
        <v>232</v>
      </c>
      <c r="C5" s="3" t="s">
        <v>233</v>
      </c>
      <c r="D5" s="3" t="s">
        <v>234</v>
      </c>
      <c r="E5" s="3" t="s">
        <v>235</v>
      </c>
      <c r="F5" s="3" t="s">
        <v>236</v>
      </c>
      <c r="G5" s="3" t="s">
        <v>237</v>
      </c>
    </row>
    <row r="6" customFormat="false" ht="45" hidden="false" customHeight="true" outlineLevel="0" collapsed="false">
      <c r="A6" s="80" t="s">
        <v>238</v>
      </c>
      <c r="B6" s="81" t="s">
        <v>239</v>
      </c>
      <c r="C6" s="80" t="s">
        <v>240</v>
      </c>
      <c r="D6" s="82" t="n">
        <v>80</v>
      </c>
      <c r="E6" s="82" t="s">
        <v>241</v>
      </c>
      <c r="F6" s="82" t="n">
        <v>6</v>
      </c>
      <c r="G6" s="83" t="s">
        <v>242</v>
      </c>
    </row>
    <row r="7" customFormat="false" ht="45" hidden="false" customHeight="true" outlineLevel="0" collapsed="false">
      <c r="A7" s="84" t="s">
        <v>243</v>
      </c>
      <c r="B7" s="85" t="s">
        <v>244</v>
      </c>
      <c r="C7" s="84" t="s">
        <v>245</v>
      </c>
      <c r="D7" s="86" t="n">
        <v>21</v>
      </c>
      <c r="E7" s="86" t="s">
        <v>246</v>
      </c>
      <c r="F7" s="86" t="n">
        <v>6</v>
      </c>
      <c r="G7" s="87" t="s">
        <v>247</v>
      </c>
    </row>
    <row r="8" customFormat="false" ht="45" hidden="false" customHeight="true" outlineLevel="0" collapsed="false">
      <c r="A8" s="88" t="s">
        <v>248</v>
      </c>
      <c r="B8" s="89" t="s">
        <v>55</v>
      </c>
      <c r="C8" s="88" t="s">
        <v>249</v>
      </c>
      <c r="D8" s="90" t="n">
        <v>17</v>
      </c>
      <c r="E8" s="90" t="s">
        <v>250</v>
      </c>
      <c r="F8" s="90" t="n">
        <v>6</v>
      </c>
      <c r="G8" s="91" t="s">
        <v>251</v>
      </c>
    </row>
    <row r="9" customFormat="false" ht="45" hidden="false" customHeight="true" outlineLevel="0" collapsed="false">
      <c r="A9" s="88" t="s">
        <v>252</v>
      </c>
      <c r="B9" s="89" t="s">
        <v>67</v>
      </c>
      <c r="C9" s="88" t="s">
        <v>253</v>
      </c>
      <c r="D9" s="90" t="n">
        <v>94</v>
      </c>
      <c r="E9" s="90" t="s">
        <v>254</v>
      </c>
      <c r="F9" s="90" t="n">
        <v>5</v>
      </c>
      <c r="G9" s="91" t="s">
        <v>255</v>
      </c>
    </row>
    <row r="10" customFormat="false" ht="45" hidden="false" customHeight="true" outlineLevel="0" collapsed="false">
      <c r="A10" s="92" t="s">
        <v>256</v>
      </c>
      <c r="B10" s="93" t="s">
        <v>257</v>
      </c>
      <c r="C10" s="92" t="s">
        <v>258</v>
      </c>
      <c r="D10" s="94" t="n">
        <v>108</v>
      </c>
      <c r="E10" s="94" t="s">
        <v>259</v>
      </c>
      <c r="F10" s="94" t="n">
        <v>6</v>
      </c>
      <c r="G10" s="95" t="s">
        <v>260</v>
      </c>
    </row>
    <row r="13" customFormat="false" ht="34.5" hidden="false" customHeight="true" outlineLevel="0" collapsed="false">
      <c r="A13" s="96" t="s">
        <v>261</v>
      </c>
      <c r="B13" s="96"/>
      <c r="C13" s="96"/>
      <c r="D13" s="96"/>
      <c r="E13" s="96"/>
      <c r="F13" s="96"/>
      <c r="G13" s="96"/>
    </row>
    <row r="14" customFormat="false" ht="15" hidden="false" customHeight="false" outlineLevel="0" collapsed="false">
      <c r="A14" s="97"/>
      <c r="B14" s="97" t="s">
        <v>262</v>
      </c>
      <c r="C14" s="97" t="s">
        <v>47</v>
      </c>
      <c r="D14" s="97" t="s">
        <v>6</v>
      </c>
      <c r="E14" s="97" t="s">
        <v>235</v>
      </c>
      <c r="F14" s="97" t="s">
        <v>48</v>
      </c>
      <c r="G14" s="97"/>
    </row>
    <row r="15" customFormat="false" ht="15" hidden="false" customHeight="false" outlineLevel="0" collapsed="false">
      <c r="A15" s="98" t="s">
        <v>263</v>
      </c>
      <c r="B15" s="98" t="s">
        <v>264</v>
      </c>
      <c r="C15" s="82" t="s">
        <v>24</v>
      </c>
      <c r="D15" s="82" t="n">
        <v>21</v>
      </c>
      <c r="E15" s="82" t="s">
        <v>246</v>
      </c>
      <c r="F15" s="82" t="s">
        <v>73</v>
      </c>
      <c r="G15" s="82"/>
    </row>
    <row r="16" customFormat="false" ht="15" hidden="false" customHeight="false" outlineLevel="0" collapsed="false">
      <c r="A16" s="99" t="s">
        <v>265</v>
      </c>
      <c r="B16" s="99" t="s">
        <v>266</v>
      </c>
      <c r="C16" s="8" t="s">
        <v>28</v>
      </c>
      <c r="D16" s="8" t="n">
        <v>36</v>
      </c>
      <c r="E16" s="8" t="s">
        <v>267</v>
      </c>
      <c r="F16" s="8" t="s">
        <v>268</v>
      </c>
      <c r="G16" s="8"/>
    </row>
    <row r="17" customFormat="false" ht="15" hidden="false" customHeight="false" outlineLevel="0" collapsed="false">
      <c r="A17" s="98" t="s">
        <v>269</v>
      </c>
      <c r="B17" s="98" t="s">
        <v>270</v>
      </c>
      <c r="C17" s="82" t="s">
        <v>14</v>
      </c>
      <c r="D17" s="82" t="n">
        <v>80</v>
      </c>
      <c r="E17" s="82" t="s">
        <v>241</v>
      </c>
      <c r="F17" s="82" t="s">
        <v>63</v>
      </c>
      <c r="G17" s="82"/>
    </row>
    <row r="18" customFormat="false" ht="15" hidden="false" customHeight="false" outlineLevel="0" collapsed="false">
      <c r="A18" s="99" t="s">
        <v>271</v>
      </c>
      <c r="B18" s="99" t="s">
        <v>272</v>
      </c>
      <c r="C18" s="8" t="s">
        <v>14</v>
      </c>
      <c r="D18" s="8" t="n">
        <v>14</v>
      </c>
      <c r="E18" s="8" t="s">
        <v>273</v>
      </c>
      <c r="F18" s="8" t="s">
        <v>274</v>
      </c>
      <c r="G18" s="8"/>
    </row>
    <row r="19" customFormat="false" ht="15" hidden="false" customHeight="false" outlineLevel="0" collapsed="false">
      <c r="A19" s="98" t="s">
        <v>275</v>
      </c>
      <c r="B19" s="98" t="s">
        <v>276</v>
      </c>
      <c r="C19" s="82" t="s">
        <v>32</v>
      </c>
      <c r="D19" s="82" t="n">
        <v>72</v>
      </c>
      <c r="E19" s="82" t="s">
        <v>277</v>
      </c>
      <c r="F19" s="82" t="s">
        <v>278</v>
      </c>
      <c r="G19" s="82"/>
    </row>
    <row r="21" customFormat="false" ht="30" hidden="false" customHeight="true" outlineLevel="0" collapsed="false">
      <c r="A21" s="100" t="s">
        <v>279</v>
      </c>
      <c r="B21" s="100"/>
      <c r="C21" s="100"/>
      <c r="D21" s="100"/>
      <c r="E21" s="100"/>
      <c r="F21" s="100"/>
      <c r="G21" s="100"/>
    </row>
  </sheetData>
  <mergeCells count="4">
    <mergeCell ref="A1:G1"/>
    <mergeCell ref="A3:G3"/>
    <mergeCell ref="A13:G13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2026-03-13T05:46:15Z</dcterms:created>
  <dc:creator>openpyxl</dc:creator>
  <dc:description/>
  <dc:language>en-US</dc:language>
  <cp:lastModifiedBy/>
  <dcterms:modified xsi:type="dcterms:W3CDTF">2026-03-13T05:51:25Z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