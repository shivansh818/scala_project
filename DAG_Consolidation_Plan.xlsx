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4-DAG Plan Detail" sheetId="2" state="visible" r:id="rId4"/>
    <sheet name="3-DAG Plan (Alternative)" sheetId="3" state="visible" r:id="rId5"/>
    <sheet name="Timeline" sheetId="4" state="visible" r:id="rId6"/>
    <sheet name="Decision Matrix" sheetId="5" state="visible" r:id="rId7"/>
    <sheet name="Implement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<sst xmlns="http://schemas.openxmlformats.org/spreadsheetml/2006/main" count="489" uniqueCount="289">
  <si>
    <t xml:space="preserve">CBS DC-DR DAG Consolidation  —  7 to 4 DAGs  |  P6 Standalone</t>
  </si>
  <si>
    <t xml:space="preserve">Current State: 7 DAGs</t>
  </si>
  <si>
    <t xml:space="preserve">DAG</t>
  </si>
  <si>
    <t xml:space="preserve">Job ID</t>
  </si>
  <si>
    <t xml:space="preserve">Schedule</t>
  </si>
  <si>
    <t xml:space="preserve">Tables</t>
  </si>
  <si>
    <t xml:space="preserve">Sum Avg (min)</t>
  </si>
  <si>
    <t xml:space="preserve">Actual (min)</t>
  </si>
  <si>
    <t xml:space="preserve">Max Table (min)</t>
  </si>
  <si>
    <t xml:space="preserve">Note</t>
  </si>
  <si>
    <t xml:space="preserve">P0</t>
  </si>
  <si>
    <t xml:space="preserve">1546426061</t>
  </si>
  <si>
    <t xml:space="preserve">10:15 AM</t>
  </si>
  <si>
    <t xml:space="preserve">P1</t>
  </si>
  <si>
    <t xml:space="preserve">1546426069</t>
  </si>
  <si>
    <t xml:space="preserve">P2</t>
  </si>
  <si>
    <t xml:space="preserve">1546972952</t>
  </si>
  <si>
    <t xml:space="preserve">P3</t>
  </si>
  <si>
    <t xml:space="preserve">1546481103</t>
  </si>
  <si>
    <t xml:space="preserve">3:00 AM</t>
  </si>
  <si>
    <t xml:space="preserve">P4</t>
  </si>
  <si>
    <t xml:space="preserve">1546580445</t>
  </si>
  <si>
    <t xml:space="preserve">7:00 AM</t>
  </si>
  <si>
    <t xml:space="preserve">P5</t>
  </si>
  <si>
    <t xml:space="preserve">1546751992</t>
  </si>
  <si>
    <t xml:space="preserve">3:30 PM</t>
  </si>
  <si>
    <t xml:space="preserve">P6</t>
  </si>
  <si>
    <t xml:space="preserve">9999999999</t>
  </si>
  <si>
    <t xml:space="preserve">5:00 AM</t>
  </si>
  <si>
    <t xml:space="preserve">CRITICAL — Do not merge</t>
  </si>
  <si>
    <t xml:space="preserve">Total</t>
  </si>
  <si>
    <t xml:space="preserve">Proposed: 4-DAG Plan (Recommended)</t>
  </si>
  <si>
    <t xml:space="preserve">New DAG</t>
  </si>
  <si>
    <t xml:space="preserve">Contains</t>
  </si>
  <si>
    <t xml:space="preserve">Est. Duration</t>
  </si>
  <si>
    <t xml:space="preserve">Start</t>
  </si>
  <si>
    <t xml:space="preserve">End</t>
  </si>
  <si>
    <t xml:space="preserve">DAG-1: Early Morning</t>
  </si>
  <si>
    <t xml:space="preserve">P3 + P4</t>
  </si>
  <si>
    <t xml:space="preserve">4h 35m</t>
  </si>
  <si>
    <t xml:space="preserve">7:35 AM</t>
  </si>
  <si>
    <t xml:space="preserve">DAG-2: Mid-Day</t>
  </si>
  <si>
    <t xml:space="preserve">P0 + P1 + P2</t>
  </si>
  <si>
    <t xml:space="preserve">4h 12m</t>
  </si>
  <si>
    <t xml:space="preserve">2:27 PM</t>
  </si>
  <si>
    <t xml:space="preserve">DAG-3: Afternoon</t>
  </si>
  <si>
    <t xml:space="preserve">5h 19m</t>
  </si>
  <si>
    <t xml:space="preserve">8:49 PM</t>
  </si>
  <si>
    <t xml:space="preserve">DAG-4: Critical (P6)</t>
  </si>
  <si>
    <t xml:space="preserve">3h 20m</t>
  </si>
  <si>
    <t xml:space="preserve">8:20 AM</t>
  </si>
  <si>
    <t xml:space="preserve">Key Metrics</t>
  </si>
  <si>
    <t xml:space="preserve">DAGs reduced</t>
  </si>
  <si>
    <t xml:space="preserve">7 → 4</t>
  </si>
  <si>
    <t xml:space="preserve">P6 status</t>
  </si>
  <si>
    <t xml:space="preserve">Standalone — not merged</t>
  </si>
  <si>
    <t xml:space="preserve">Longest DAG</t>
  </si>
  <si>
    <t xml:space="preserve">DAG-3 (P5) at ~5h 19m</t>
  </si>
  <si>
    <t xml:space="preserve">No DAG exceeds</t>
  </si>
  <si>
    <t xml:space="preserve">5.5 hours</t>
  </si>
  <si>
    <t xml:space="preserve">Execution windows</t>
  </si>
  <si>
    <t xml:space="preserve">3 AM → 7:35 AM | 5 AM → 8:20 AM (P6) | 10:15 AM → 2:27 PM | 3:30 PM → 8:49 PM</t>
  </si>
  <si>
    <t xml:space="preserve">4-DAG Plan  —  Detailed Configuration</t>
  </si>
  <si>
    <t xml:space="preserve">P6 (DAG-4): Critical tables — standalone, independent schedule and monitoring</t>
  </si>
  <si>
    <t xml:space="preserve">Old DAGs</t>
  </si>
  <si>
    <t xml:space="preserve">Execution Window</t>
  </si>
  <si>
    <t xml:space="preserve">Risk</t>
  </si>
  <si>
    <t xml:space="preserve">3:00 AM – 7:35 AM</t>
  </si>
  <si>
    <t xml:space="preserve">Low</t>
  </si>
  <si>
    <t xml:space="preserve">10:15 AM – 2:27 PM</t>
  </si>
  <si>
    <t xml:space="preserve">3:30 PM – 8:49 PM</t>
  </si>
  <si>
    <t xml:space="preserve">Moderate</t>
  </si>
  <si>
    <t xml:space="preserve">5:00 AM – 8:20 AM</t>
  </si>
  <si>
    <t xml:space="preserve">Critical</t>
  </si>
  <si>
    <t xml:space="preserve">DAG-1: Early Morning  (P3+P4)</t>
  </si>
  <si>
    <t xml:space="preserve">Source DAG</t>
  </si>
  <si>
    <t xml:space="preserve">Table Name</t>
  </si>
  <si>
    <t xml:space="preserve">Avg Time (min)</t>
  </si>
  <si>
    <t xml:space="preserve">gldm</t>
  </si>
  <si>
    <t xml:space="preserve">mnfh</t>
  </si>
  <si>
    <t xml:space="preserve">tffm</t>
  </si>
  <si>
    <t xml:space="preserve">ed2p</t>
  </si>
  <si>
    <t xml:space="preserve">ACRH</t>
  </si>
  <si>
    <t xml:space="preserve">cusvaa</t>
  </si>
  <si>
    <t xml:space="preserve">cumi</t>
  </si>
  <si>
    <t xml:space="preserve">tdrv</t>
  </si>
  <si>
    <t xml:space="preserve">colm</t>
  </si>
  <si>
    <t xml:space="preserve">racd</t>
  </si>
  <si>
    <t xml:space="preserve">incc</t>
  </si>
  <si>
    <t xml:space="preserve">ddrh</t>
  </si>
  <si>
    <t xml:space="preserve">ctam</t>
  </si>
  <si>
    <t xml:space="preserve">cuid</t>
  </si>
  <si>
    <t xml:space="preserve">cusvd1</t>
  </si>
  <si>
    <t xml:space="preserve">cusvd4</t>
  </si>
  <si>
    <t xml:space="preserve">acfr</t>
  </si>
  <si>
    <t xml:space="preserve">HLDT</t>
  </si>
  <si>
    <t xml:space="preserve">coem</t>
  </si>
  <si>
    <t xml:space="preserve">txop</t>
  </si>
  <si>
    <t xml:space="preserve">ifsc</t>
  </si>
  <si>
    <t xml:space="preserve">apym</t>
  </si>
  <si>
    <t xml:space="preserve">gect_src_derived</t>
  </si>
  <si>
    <t xml:space="preserve">GLEB</t>
  </si>
  <si>
    <t xml:space="preserve">SVS_SIG_LINKAGE</t>
  </si>
  <si>
    <t xml:space="preserve">insh</t>
  </si>
  <si>
    <t xml:space="preserve">empp</t>
  </si>
  <si>
    <t xml:space="preserve">gstc</t>
  </si>
  <si>
    <t xml:space="preserve">audt</t>
  </si>
  <si>
    <t xml:space="preserve">SVS_SIG_MATRIX</t>
  </si>
  <si>
    <t xml:space="preserve">mfld</t>
  </si>
  <si>
    <t xml:space="preserve">mfsq</t>
  </si>
  <si>
    <t xml:space="preserve">mfsv</t>
  </si>
  <si>
    <t xml:space="preserve">mfvd</t>
  </si>
  <si>
    <t xml:space="preserve">QERR</t>
  </si>
  <si>
    <t xml:space="preserve">TXTM</t>
  </si>
  <si>
    <t xml:space="preserve">uuid</t>
  </si>
  <si>
    <t xml:space="preserve">COLE</t>
  </si>
  <si>
    <t xml:space="preserve">CURH</t>
  </si>
  <si>
    <t xml:space="preserve">MCAD</t>
  </si>
  <si>
    <t xml:space="preserve">DAG-2: Mid-Day  (P0+P1+P2)</t>
  </si>
  <si>
    <t xml:space="preserve">qith</t>
  </si>
  <si>
    <t xml:space="preserve">eftm</t>
  </si>
  <si>
    <t xml:space="preserve">prod</t>
  </si>
  <si>
    <t xml:space="preserve">CUSVEQ</t>
  </si>
  <si>
    <t xml:space="preserve">KYCS</t>
  </si>
  <si>
    <t xml:space="preserve">SORD</t>
  </si>
  <si>
    <t xml:space="preserve">ocri</t>
  </si>
  <si>
    <t xml:space="preserve">icdd</t>
  </si>
  <si>
    <t xml:space="preserve">RELM</t>
  </si>
  <si>
    <t xml:space="preserve">BORG</t>
  </si>
  <si>
    <t xml:space="preserve">RELP</t>
  </si>
  <si>
    <t xml:space="preserve">CASN</t>
  </si>
  <si>
    <t xml:space="preserve">CID3</t>
  </si>
  <si>
    <t xml:space="preserve">IPRD</t>
  </si>
  <si>
    <t xml:space="preserve">icid</t>
  </si>
  <si>
    <t xml:space="preserve">ocid</t>
  </si>
  <si>
    <t xml:space="preserve">DPDD</t>
  </si>
  <si>
    <t xml:space="preserve">77 tables (avg ~1.2 min each)</t>
  </si>
  <si>
    <t xml:space="preserve">DAG-3: Afternoon  (P5)</t>
  </si>
  <si>
    <t xml:space="preserve">72 tables (avg ~4.1 min each)</t>
  </si>
  <si>
    <t xml:space="preserve">DAG-4: Critical (P6)  —  DO NOT MERGE  (P6)</t>
  </si>
  <si>
    <t xml:space="preserve">gect</t>
  </si>
  <si>
    <t xml:space="preserve">gl01</t>
  </si>
  <si>
    <t xml:space="preserve">gl02</t>
  </si>
  <si>
    <t xml:space="preserve">ACFH</t>
  </si>
  <si>
    <t xml:space="preserve">acsn</t>
  </si>
  <si>
    <t xml:space="preserve">cusm</t>
  </si>
  <si>
    <t xml:space="preserve">indu</t>
  </si>
  <si>
    <t xml:space="preserve">invm</t>
  </si>
  <si>
    <t xml:space="preserve">invb</t>
  </si>
  <si>
    <t xml:space="preserve">brhm</t>
  </si>
  <si>
    <t xml:space="preserve">ctpm</t>
  </si>
  <si>
    <t xml:space="preserve">cusvdd</t>
  </si>
  <si>
    <t xml:space="preserve">depp</t>
  </si>
  <si>
    <t xml:space="preserve">infz</t>
  </si>
  <si>
    <t xml:space="preserve">INCT</t>
  </si>
  <si>
    <t xml:space="preserve">ENBR</t>
  </si>
  <si>
    <t xml:space="preserve">3-DAG Plan  —  Maximum Consolidation  |  P6 Standalone</t>
  </si>
  <si>
    <t xml:space="preserve">Alternative option — merges 5 DAGs into one ~8h 48m batch. Higher re-run risk. Only if infrastructure is very stable.</t>
  </si>
  <si>
    <t xml:space="preserve">DAG-1: Day Batch</t>
  </si>
  <si>
    <t xml:space="preserve">P3 + P4 + P0 + P1 + P2</t>
  </si>
  <si>
    <t xml:space="preserve">8h 48m</t>
  </si>
  <si>
    <t xml:space="preserve">11:48 AM</t>
  </si>
  <si>
    <t xml:space="preserve">3:00 AM – 11:48 AM</t>
  </si>
  <si>
    <t xml:space="preserve">High</t>
  </si>
  <si>
    <t xml:space="preserve">DAG-2: Afternoon</t>
  </si>
  <si>
    <t xml:space="preserve">DAG-3: Critical (P6)</t>
  </si>
  <si>
    <t xml:space="preserve">Execution Timeline  —  Current vs Proposed</t>
  </si>
  <si>
    <t xml:space="preserve">DAG Group</t>
  </si>
  <si>
    <t xml:space="preserve">Duration</t>
  </si>
  <si>
    <t xml:space="preserve">2AM</t>
  </si>
  <si>
    <t xml:space="preserve">3AM</t>
  </si>
  <si>
    <t xml:space="preserve">4AM</t>
  </si>
  <si>
    <t xml:space="preserve">5AM</t>
  </si>
  <si>
    <t xml:space="preserve">6AM</t>
  </si>
  <si>
    <t xml:space="preserve">7AM</t>
  </si>
  <si>
    <t xml:space="preserve">8AM</t>
  </si>
  <si>
    <t xml:space="preserve">9AM</t>
  </si>
  <si>
    <t xml:space="preserve">10AM</t>
  </si>
  <si>
    <t xml:space="preserve">11AM</t>
  </si>
  <si>
    <t xml:space="preserve">12PM</t>
  </si>
  <si>
    <t xml:space="preserve">1PM</t>
  </si>
  <si>
    <t xml:space="preserve">2PM</t>
  </si>
  <si>
    <t xml:space="preserve">3PM</t>
  </si>
  <si>
    <t xml:space="preserve">4PM</t>
  </si>
  <si>
    <t xml:space="preserve">5PM</t>
  </si>
  <si>
    <t xml:space="preserve">6PM</t>
  </si>
  <si>
    <t xml:space="preserve">7PM</t>
  </si>
  <si>
    <t xml:space="preserve">8PM</t>
  </si>
  <si>
    <t xml:space="preserve">9PM</t>
  </si>
  <si>
    <t xml:space="preserve">Current: 7 DAGs</t>
  </si>
  <si>
    <t xml:space="preserve">  P3</t>
  </si>
  <si>
    <t xml:space="preserve">31m</t>
  </si>
  <si>
    <t xml:space="preserve">  P6  (Critical)</t>
  </si>
  <si>
    <t xml:space="preserve">  P4</t>
  </si>
  <si>
    <t xml:space="preserve">4h 4m</t>
  </si>
  <si>
    <t xml:space="preserve">  P0</t>
  </si>
  <si>
    <t xml:space="preserve">23m</t>
  </si>
  <si>
    <t xml:space="preserve">  P1</t>
  </si>
  <si>
    <t xml:space="preserve">2h 11m</t>
  </si>
  <si>
    <t xml:space="preserve">  P2</t>
  </si>
  <si>
    <t xml:space="preserve">1h 39m</t>
  </si>
  <si>
    <t xml:space="preserve">  P5</t>
  </si>
  <si>
    <t xml:space="preserve">Proposed: 4-DAG Plan</t>
  </si>
  <si>
    <t xml:space="preserve">  DAG-1: P3+P4</t>
  </si>
  <si>
    <t xml:space="preserve">  DAG-4: P6  (Critical)</t>
  </si>
  <si>
    <t xml:space="preserve">  DAG-2: P0+P1+P2</t>
  </si>
  <si>
    <t xml:space="preserve">  DAG-3: P5</t>
  </si>
  <si>
    <t xml:space="preserve">Alternative: 3-DAG Plan</t>
  </si>
  <si>
    <t xml:space="preserve">  DAG-1: P3+P4+P0+P1+P2</t>
  </si>
  <si>
    <t xml:space="preserve">  DAG-3: P6  (Critical)</t>
  </si>
  <si>
    <t xml:space="preserve">  DAG-2: P5</t>
  </si>
  <si>
    <t xml:space="preserve">Decision Matrix  —  P6 Standalone in All Plans</t>
  </si>
  <si>
    <t xml:space="preserve">Criteria</t>
  </si>
  <si>
    <t xml:space="preserve">Current (7 DAGs)</t>
  </si>
  <si>
    <t xml:space="preserve">4-DAG (Recommended)</t>
  </si>
  <si>
    <t xml:space="preserve">3-DAG (Alternative)</t>
  </si>
  <si>
    <t xml:space="preserve">Importance</t>
  </si>
  <si>
    <t xml:space="preserve">Number of DAGs</t>
  </si>
  <si>
    <t xml:space="preserve">7</t>
  </si>
  <si>
    <t xml:space="preserve">4</t>
  </si>
  <si>
    <t xml:space="preserve">3</t>
  </si>
  <si>
    <t xml:space="preserve">P6 isolation</t>
  </si>
  <si>
    <t xml:space="preserve">Standalone</t>
  </si>
  <si>
    <t xml:space="preserve">Longest single DAG</t>
  </si>
  <si>
    <t xml:space="preserve">~310 min (P5)</t>
  </si>
  <si>
    <t xml:space="preserve">~319 min (P5)</t>
  </si>
  <si>
    <t xml:space="preserve">~528 min (DAG-1)</t>
  </si>
  <si>
    <t xml:space="preserve">Risk of &gt;8 hr run</t>
  </si>
  <si>
    <t xml:space="preserve">None</t>
  </si>
  <si>
    <t xml:space="preserve">Yes — DAG-1 at 8h 48m</t>
  </si>
  <si>
    <t xml:space="preserve">Failure blast radius</t>
  </si>
  <si>
    <t xml:space="preserve">Small (max 77 tables)</t>
  </si>
  <si>
    <t xml:space="preserve">Medium (max 94 tables)</t>
  </si>
  <si>
    <t xml:space="preserve">Large (134 tables)</t>
  </si>
  <si>
    <t xml:space="preserve">Re-run cost</t>
  </si>
  <si>
    <t xml:space="preserve">Medium (max ~4.5 hrs)</t>
  </si>
  <si>
    <t xml:space="preserve">High (DAG-1 ~8.8 hrs)</t>
  </si>
  <si>
    <t xml:space="preserve">Monitoring effort</t>
  </si>
  <si>
    <t xml:space="preserve">7 alerts</t>
  </si>
  <si>
    <t xml:space="preserve">4 alerts</t>
  </si>
  <si>
    <t xml:space="preserve">3 alerts</t>
  </si>
  <si>
    <t xml:space="preserve">Medium</t>
  </si>
  <si>
    <t xml:space="preserve">Schedule conflicts</t>
  </si>
  <si>
    <t xml:space="preserve">P0/P1/P2 overlap</t>
  </si>
  <si>
    <t xml:space="preserve">P6 monitoring priority</t>
  </si>
  <si>
    <t xml:space="preserve">1 of 7</t>
  </si>
  <si>
    <t xml:space="preserve">1 of 4</t>
  </si>
  <si>
    <t xml:space="preserve">1 of 3</t>
  </si>
  <si>
    <t xml:space="preserve">Recommendation</t>
  </si>
  <si>
    <t xml:space="preserve">4-DAG Plan is the best choice. Halves DAG count (7 to 4), keeps P6 fully isolated, no DAG exceeds 5.5 hours, and all execution windows are clean and sequential. The 3-DAG plan is viable only if your infrastructure is very stable and you can accept an 8.8-hour re-run risk on failure.</t>
  </si>
  <si>
    <t xml:space="preserve">Implementation Checklist  —  4-DAG Plan</t>
  </si>
  <si>
    <t xml:space="preserve">Rule: P6 (dag_level_config_p6) must not be merged. It keeps its own schedule, job ID, and monitoring.</t>
  </si>
  <si>
    <t xml:space="preserve">#</t>
  </si>
  <si>
    <t xml:space="preserve">Step</t>
  </si>
  <si>
    <t xml:space="preserve">Details</t>
  </si>
  <si>
    <t xml:space="preserve">Affected</t>
  </si>
  <si>
    <t xml:space="preserve">Owner</t>
  </si>
  <si>
    <t xml:space="preserve">Status</t>
  </si>
  <si>
    <t xml:space="preserve">Priority</t>
  </si>
  <si>
    <t xml:space="preserve">Merge P3 into P4</t>
  </si>
  <si>
    <t xml:space="preserve">Combine dag_level_config_p3 tables into P4 config. New schedule: 3:00 AM. Total: 40 tables.</t>
  </si>
  <si>
    <t xml:space="preserve">DAG-1</t>
  </si>
  <si>
    <t xml:space="preserve">Create DAG-1 job</t>
  </si>
  <si>
    <t xml:space="preserve">New DC-DR job replacing P3 (1546481103) and P4 (1546580445). Validate all 40 table configs.</t>
  </si>
  <si>
    <t xml:space="preserve">Merge P0 + P1 + P2</t>
  </si>
  <si>
    <t xml:space="preserve">Combine three 10:15 AM configs into DAG-2. Total: 94 tables. Keep 10:15 AM schedule.</t>
  </si>
  <si>
    <t xml:space="preserve">DAG-2</t>
  </si>
  <si>
    <t xml:space="preserve">Create DAG-2 job</t>
  </si>
  <si>
    <t xml:space="preserve">New DC-DR job replacing P0 (1546426061), P1 (1546426069), P2 (1546972952).</t>
  </si>
  <si>
    <t xml:space="preserve">Rename P5 to DAG-3</t>
  </si>
  <si>
    <t xml:space="preserve">Rename dag_level_config_p5. Schedule stays 3:30 PM. No table changes.</t>
  </si>
  <si>
    <t xml:space="preserve">DAG-3</t>
  </si>
  <si>
    <t xml:space="preserve">P6 to DAG-4 (no merge)</t>
  </si>
  <si>
    <t xml:space="preserve">Rename only. Do not merge any tables. Keep job ID, schedule (5 AM), all configs.</t>
  </si>
  <si>
    <t xml:space="preserve">DAG-4 (P6)</t>
  </si>
  <si>
    <t xml:space="preserve">P6 priority monitoring</t>
  </si>
  <si>
    <t xml:space="preserve">Dedicated alerts, faster thresholds, auto-escalation on failure.</t>
  </si>
  <si>
    <t xml:space="preserve">Update all monitoring</t>
  </si>
  <si>
    <t xml:space="preserve">Reconfigure for 4 DAGs. Set SLA thresholds per DAG.</t>
  </si>
  <si>
    <t xml:space="preserve">All</t>
  </si>
  <si>
    <t xml:space="preserve">Staging validation</t>
  </si>
  <si>
    <t xml:space="preserve">Run all 4 DAGs in staging. Validate table counts, timing, P6 independence.</t>
  </si>
  <si>
    <t xml:space="preserve">Parallel run (1 week)</t>
  </si>
  <si>
    <t xml:space="preserve">Run old 7-DAG and new 4-DAG side by side. Compare sync counts and timing.</t>
  </si>
  <si>
    <t xml:space="preserve">Production cutover</t>
  </si>
  <si>
    <t xml:space="preserve">Disable old DAGs. Enable new 4 DAGs. Verify P6 critical tables first.</t>
  </si>
  <si>
    <t xml:space="preserve">Decommission old configs</t>
  </si>
  <si>
    <t xml:space="preserve">Archive dag_level_config_p0 through p5 (not p6). Update documentation.</t>
  </si>
  <si>
    <t xml:space="preserve">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</si>
</sst>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2937"/>
      <name val="Aptos"/>
      <family val="0"/>
      <charset val="1"/>
    </font>
    <font>
      <sz val="10"/>
      <color rgb="FF1F2937"/>
      <name val="Aptos"/>
      <family val="0"/>
      <charset val="1"/>
    </font>
    <font>
      <b val="true"/>
      <sz val="10"/>
      <color rgb="FFD97706"/>
      <name val="Aptos"/>
      <family val="0"/>
      <charset val="1"/>
    </font>
    <font>
      <sz val="10"/>
      <color rgb="FF059669"/>
      <name val="Aptos"/>
      <family val="0"/>
      <charset val="1"/>
    </font>
    <font>
      <b val="true"/>
      <sz val="10"/>
      <color rgb="FFB45309"/>
      <name val="Aptos"/>
      <family val="0"/>
      <charset val="1"/>
    </font>
    <font>
      <sz val="10"/>
      <color rgb="FFB45309"/>
      <name val="Aptos"/>
      <family val="0"/>
      <charset val="1"/>
    </font>
    <font>
      <b val="true"/>
      <sz val="10"/>
      <color rgb="FFDC2626"/>
      <name val="Aptos"/>
      <family val="0"/>
      <charset val="1"/>
    </font>
    <font>
      <sz val="10"/>
      <color rgb="FF6B7280"/>
      <name val="Apto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F3F4F6"/>
        <bgColor rgb="FFF9FAFB"/>
      </patternFill>
    </fill>
    <fill>
      <patternFill patternType="solid">
        <fgColor rgb="FFFEF3C7"/>
        <bgColor rgb="FFFFFBEB"/>
      </patternFill>
    </fill>
    <fill>
      <patternFill patternType="solid">
        <fgColor rgb="FFD97706"/>
        <bgColor rgb="FFFF9900"/>
      </patternFill>
    </fill>
    <fill>
      <patternFill patternType="solid">
        <fgColor rgb="FFFFFBEB"/>
        <bgColor rgb="FFF9FAFB"/>
      </patternFill>
    </fill>
    <fill>
      <patternFill patternType="solid">
        <fgColor rgb="FFF9FA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CCFFC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12</v>
      </c>
      <c r="D5" s="5" t="n">
        <v>3</v>
      </c>
      <c r="E5" s="6" t="n">
        <v>21</v>
      </c>
      <c r="F5" s="5" t="n">
        <v>24</v>
      </c>
      <c r="G5" s="5" t="n">
        <v>9</v>
      </c>
      <c r="H5" s="5"/>
    </row>
    <row r="6" customFormat="false" ht="15" hidden="false" customHeight="false" outlineLevel="0" collapsed="false">
      <c r="A6" s="7" t="s">
        <v>13</v>
      </c>
      <c r="B6" s="8" t="s">
        <v>14</v>
      </c>
      <c r="C6" s="8" t="s">
        <v>12</v>
      </c>
      <c r="D6" s="8" t="n">
        <v>14</v>
      </c>
      <c r="E6" s="9" t="n">
        <v>121</v>
      </c>
      <c r="F6" s="8" t="n">
        <v>130</v>
      </c>
      <c r="G6" s="8" t="n">
        <v>14</v>
      </c>
      <c r="H6" s="8"/>
    </row>
    <row r="7" customFormat="false" ht="15" hidden="false" customHeight="false" outlineLevel="0" collapsed="false">
      <c r="A7" s="4" t="s">
        <v>15</v>
      </c>
      <c r="B7" s="5" t="s">
        <v>16</v>
      </c>
      <c r="C7" s="5" t="s">
        <v>12</v>
      </c>
      <c r="D7" s="5" t="n">
        <v>77</v>
      </c>
      <c r="E7" s="6" t="n">
        <v>91.5</v>
      </c>
      <c r="F7" s="5" t="n">
        <v>140</v>
      </c>
      <c r="G7" s="5" t="n">
        <v>3</v>
      </c>
      <c r="H7" s="5"/>
    </row>
    <row r="8" customFormat="false" ht="15" hidden="false" customHeight="false" outlineLevel="0" collapsed="false">
      <c r="A8" s="7" t="s">
        <v>17</v>
      </c>
      <c r="B8" s="8" t="s">
        <v>18</v>
      </c>
      <c r="C8" s="8" t="s">
        <v>19</v>
      </c>
      <c r="D8" s="8" t="n">
        <v>4</v>
      </c>
      <c r="E8" s="9" t="n">
        <v>29</v>
      </c>
      <c r="F8" s="8" t="n">
        <v>26</v>
      </c>
      <c r="G8" s="8" t="n">
        <v>13</v>
      </c>
      <c r="H8" s="8"/>
    </row>
    <row r="9" customFormat="false" ht="15" hidden="false" customHeight="false" outlineLevel="0" collapsed="false">
      <c r="A9" s="4" t="s">
        <v>20</v>
      </c>
      <c r="B9" s="5" t="s">
        <v>21</v>
      </c>
      <c r="C9" s="5" t="s">
        <v>22</v>
      </c>
      <c r="D9" s="5" t="n">
        <v>36</v>
      </c>
      <c r="E9" s="6" t="n">
        <v>226</v>
      </c>
      <c r="F9" s="5" t="n">
        <v>250</v>
      </c>
      <c r="G9" s="5" t="n">
        <v>11</v>
      </c>
      <c r="H9" s="5"/>
    </row>
    <row r="10" customFormat="false" ht="15" hidden="false" customHeight="false" outlineLevel="0" collapsed="false">
      <c r="A10" s="7" t="s">
        <v>23</v>
      </c>
      <c r="B10" s="8" t="s">
        <v>24</v>
      </c>
      <c r="C10" s="8" t="s">
        <v>25</v>
      </c>
      <c r="D10" s="8" t="n">
        <v>72</v>
      </c>
      <c r="E10" s="9" t="n">
        <v>295</v>
      </c>
      <c r="F10" s="8" t="n">
        <v>310</v>
      </c>
      <c r="G10" s="8" t="n">
        <v>8</v>
      </c>
      <c r="H10" s="8"/>
    </row>
    <row r="11" customFormat="false" ht="35.05" hidden="false" customHeight="false" outlineLevel="0" collapsed="false">
      <c r="A11" s="10" t="s">
        <v>26</v>
      </c>
      <c r="B11" s="11" t="s">
        <v>27</v>
      </c>
      <c r="C11" s="11" t="s">
        <v>28</v>
      </c>
      <c r="D11" s="11" t="n">
        <v>17</v>
      </c>
      <c r="E11" s="12" t="n">
        <v>185</v>
      </c>
      <c r="F11" s="11" t="n">
        <v>170</v>
      </c>
      <c r="G11" s="11" t="n">
        <v>20</v>
      </c>
      <c r="H11" s="13" t="s">
        <v>29</v>
      </c>
    </row>
    <row r="12" customFormat="false" ht="15" hidden="false" customHeight="false" outlineLevel="0" collapsed="false">
      <c r="A12" s="14" t="s">
        <v>30</v>
      </c>
      <c r="B12" s="15"/>
      <c r="C12" s="15"/>
      <c r="D12" s="14" t="n">
        <f aca="false">SUM(D5:D11)</f>
        <v>223</v>
      </c>
      <c r="E12" s="16" t="n">
        <f aca="false">SUM(E5:E11)</f>
        <v>968.5</v>
      </c>
      <c r="F12" s="14" t="n">
        <f aca="false">SUM(F5:F11)</f>
        <v>1050</v>
      </c>
      <c r="G12" s="14" t="n">
        <f aca="false">MAX(G5:G11)</f>
        <v>20</v>
      </c>
      <c r="H12" s="15"/>
    </row>
    <row r="14" customFormat="false" ht="15" hidden="false" customHeight="false" outlineLevel="0" collapsed="false">
      <c r="A14" s="2" t="s">
        <v>31</v>
      </c>
      <c r="B14" s="2"/>
      <c r="C14" s="2"/>
      <c r="D14" s="2"/>
      <c r="E14" s="2"/>
      <c r="F14" s="2"/>
      <c r="G14" s="2"/>
      <c r="H14" s="2"/>
    </row>
    <row r="15" customFormat="false" ht="23.85" hidden="false" customHeight="false" outlineLevel="0" collapsed="false">
      <c r="A15" s="3" t="s">
        <v>32</v>
      </c>
      <c r="B15" s="3" t="s">
        <v>33</v>
      </c>
      <c r="C15" s="3" t="s">
        <v>4</v>
      </c>
      <c r="D15" s="3" t="s">
        <v>5</v>
      </c>
      <c r="E15" s="3" t="s">
        <v>6</v>
      </c>
      <c r="F15" s="3" t="s">
        <v>34</v>
      </c>
      <c r="G15" s="3" t="s">
        <v>35</v>
      </c>
      <c r="H15" s="3" t="s">
        <v>36</v>
      </c>
    </row>
    <row r="16" customFormat="false" ht="23.85" hidden="false" customHeight="false" outlineLevel="0" collapsed="false">
      <c r="A16" s="17" t="s">
        <v>37</v>
      </c>
      <c r="B16" s="4" t="s">
        <v>38</v>
      </c>
      <c r="C16" s="5" t="s">
        <v>19</v>
      </c>
      <c r="D16" s="5" t="n">
        <v>40</v>
      </c>
      <c r="E16" s="6" t="n">
        <v>255</v>
      </c>
      <c r="F16" s="4" t="s">
        <v>39</v>
      </c>
      <c r="G16" s="5" t="s">
        <v>19</v>
      </c>
      <c r="H16" s="5" t="s">
        <v>40</v>
      </c>
    </row>
    <row r="17" customFormat="false" ht="15" hidden="false" customHeight="false" outlineLevel="0" collapsed="false">
      <c r="A17" s="18" t="s">
        <v>41</v>
      </c>
      <c r="B17" s="7" t="s">
        <v>42</v>
      </c>
      <c r="C17" s="8" t="s">
        <v>12</v>
      </c>
      <c r="D17" s="8" t="n">
        <v>94</v>
      </c>
      <c r="E17" s="9" t="n">
        <v>233.5</v>
      </c>
      <c r="F17" s="7" t="s">
        <v>43</v>
      </c>
      <c r="G17" s="8" t="s">
        <v>12</v>
      </c>
      <c r="H17" s="8" t="s">
        <v>44</v>
      </c>
    </row>
    <row r="18" customFormat="false" ht="15" hidden="false" customHeight="false" outlineLevel="0" collapsed="false">
      <c r="A18" s="17" t="s">
        <v>45</v>
      </c>
      <c r="B18" s="4" t="s">
        <v>23</v>
      </c>
      <c r="C18" s="5" t="s">
        <v>25</v>
      </c>
      <c r="D18" s="5" t="n">
        <v>72</v>
      </c>
      <c r="E18" s="6" t="n">
        <v>295</v>
      </c>
      <c r="F18" s="4" t="s">
        <v>46</v>
      </c>
      <c r="G18" s="5" t="s">
        <v>25</v>
      </c>
      <c r="H18" s="5" t="s">
        <v>47</v>
      </c>
    </row>
    <row r="19" customFormat="false" ht="15" hidden="false" customHeight="false" outlineLevel="0" collapsed="false">
      <c r="A19" s="13" t="s">
        <v>48</v>
      </c>
      <c r="B19" s="10" t="s">
        <v>26</v>
      </c>
      <c r="C19" s="11" t="s">
        <v>28</v>
      </c>
      <c r="D19" s="11" t="n">
        <v>17</v>
      </c>
      <c r="E19" s="12" t="n">
        <v>185</v>
      </c>
      <c r="F19" s="10" t="s">
        <v>49</v>
      </c>
      <c r="G19" s="11" t="s">
        <v>28</v>
      </c>
      <c r="H19" s="11" t="s">
        <v>50</v>
      </c>
    </row>
    <row r="21" customFormat="false" ht="15" hidden="false" customHeight="false" outlineLevel="0" collapsed="false">
      <c r="A21" s="2" t="s">
        <v>51</v>
      </c>
      <c r="B21" s="2"/>
      <c r="C21" s="2"/>
      <c r="D21" s="2"/>
      <c r="E21" s="2"/>
      <c r="F21" s="2"/>
      <c r="G21" s="2"/>
      <c r="H21" s="2"/>
    </row>
    <row r="22" customFormat="false" ht="15" hidden="false" customHeight="true" outlineLevel="0" collapsed="false">
      <c r="A22" s="19" t="s">
        <v>52</v>
      </c>
      <c r="B22" s="20" t="s">
        <v>53</v>
      </c>
      <c r="C22" s="20"/>
      <c r="D22" s="20"/>
      <c r="E22" s="20"/>
      <c r="F22" s="20"/>
      <c r="G22" s="20"/>
      <c r="H22" s="20"/>
    </row>
    <row r="23" customFormat="false" ht="15" hidden="false" customHeight="true" outlineLevel="0" collapsed="false">
      <c r="A23" s="21" t="s">
        <v>54</v>
      </c>
      <c r="B23" s="22" t="s">
        <v>55</v>
      </c>
      <c r="C23" s="22"/>
      <c r="D23" s="22"/>
      <c r="E23" s="22"/>
      <c r="F23" s="22"/>
      <c r="G23" s="22"/>
      <c r="H23" s="22"/>
    </row>
    <row r="24" customFormat="false" ht="15" hidden="false" customHeight="true" outlineLevel="0" collapsed="false">
      <c r="A24" s="19" t="s">
        <v>56</v>
      </c>
      <c r="B24" s="20" t="s">
        <v>57</v>
      </c>
      <c r="C24" s="20"/>
      <c r="D24" s="20"/>
      <c r="E24" s="20"/>
      <c r="F24" s="20"/>
      <c r="G24" s="20"/>
      <c r="H24" s="20"/>
    </row>
    <row r="25" customFormat="false" ht="15" hidden="false" customHeight="true" outlineLevel="0" collapsed="false">
      <c r="A25" s="21" t="s">
        <v>58</v>
      </c>
      <c r="B25" s="22" t="s">
        <v>59</v>
      </c>
      <c r="C25" s="22"/>
      <c r="D25" s="22"/>
      <c r="E25" s="22"/>
      <c r="F25" s="22"/>
      <c r="G25" s="22"/>
      <c r="H25" s="22"/>
    </row>
    <row r="26" customFormat="false" ht="15" hidden="false" customHeight="true" outlineLevel="0" collapsed="false">
      <c r="A26" s="19" t="s">
        <v>60</v>
      </c>
      <c r="B26" s="20" t="s">
        <v>61</v>
      </c>
      <c r="C26" s="20"/>
      <c r="D26" s="20"/>
      <c r="E26" s="20"/>
      <c r="F26" s="20"/>
      <c r="G26" s="20"/>
      <c r="H26" s="20"/>
    </row>
  </sheetData>
  <mergeCells count="9">
    <mergeCell ref="A1:H1"/>
    <mergeCell ref="A3:H3"/>
    <mergeCell ref="A14:H14"/>
    <mergeCell ref="A21:H21"/>
    <mergeCell ref="B22:H22"/>
    <mergeCell ref="B23:H23"/>
    <mergeCell ref="B24:H24"/>
    <mergeCell ref="B25:H25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false"/>
  </sheetPr>
  <dimension ref="A1:J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36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4.75" hidden="false" customHeight="true" outlineLevel="0" collapsed="false">
      <c r="A3" s="23" t="s">
        <v>63</v>
      </c>
      <c r="B3" s="23"/>
      <c r="C3" s="23"/>
      <c r="D3" s="23"/>
      <c r="E3" s="23"/>
      <c r="F3" s="23"/>
      <c r="G3" s="23"/>
      <c r="H3" s="23"/>
      <c r="I3" s="23"/>
      <c r="J3" s="23"/>
    </row>
    <row r="5" customFormat="false" ht="23.85" hidden="false" customHeight="false" outlineLevel="0" collapsed="false">
      <c r="A5" s="3" t="s">
        <v>32</v>
      </c>
      <c r="B5" s="3" t="s">
        <v>4</v>
      </c>
      <c r="C5" s="3" t="s">
        <v>64</v>
      </c>
      <c r="D5" s="3" t="s">
        <v>5</v>
      </c>
      <c r="E5" s="3" t="s">
        <v>6</v>
      </c>
      <c r="F5" s="3" t="s">
        <v>34</v>
      </c>
      <c r="G5" s="3" t="s">
        <v>35</v>
      </c>
      <c r="H5" s="3" t="s">
        <v>36</v>
      </c>
      <c r="I5" s="3" t="s">
        <v>65</v>
      </c>
      <c r="J5" s="3" t="s">
        <v>66</v>
      </c>
    </row>
    <row r="6" customFormat="false" ht="35.05" hidden="false" customHeight="false" outlineLevel="0" collapsed="false">
      <c r="A6" s="17" t="s">
        <v>37</v>
      </c>
      <c r="B6" s="5" t="s">
        <v>19</v>
      </c>
      <c r="C6" s="4" t="s">
        <v>38</v>
      </c>
      <c r="D6" s="5" t="n">
        <v>40</v>
      </c>
      <c r="E6" s="6" t="n">
        <v>255</v>
      </c>
      <c r="F6" s="4" t="s">
        <v>39</v>
      </c>
      <c r="G6" s="5" t="s">
        <v>19</v>
      </c>
      <c r="H6" s="5" t="s">
        <v>40</v>
      </c>
      <c r="I6" s="5" t="s">
        <v>67</v>
      </c>
      <c r="J6" s="24" t="s">
        <v>68</v>
      </c>
    </row>
    <row r="7" customFormat="false" ht="23.85" hidden="false" customHeight="false" outlineLevel="0" collapsed="false">
      <c r="A7" s="18" t="s">
        <v>41</v>
      </c>
      <c r="B7" s="8" t="s">
        <v>12</v>
      </c>
      <c r="C7" s="7" t="s">
        <v>42</v>
      </c>
      <c r="D7" s="8" t="n">
        <v>94</v>
      </c>
      <c r="E7" s="9" t="n">
        <v>233.5</v>
      </c>
      <c r="F7" s="7" t="s">
        <v>43</v>
      </c>
      <c r="G7" s="8" t="s">
        <v>12</v>
      </c>
      <c r="H7" s="8" t="s">
        <v>44</v>
      </c>
      <c r="I7" s="8" t="s">
        <v>69</v>
      </c>
      <c r="J7" s="25" t="s">
        <v>68</v>
      </c>
    </row>
    <row r="8" customFormat="false" ht="23.85" hidden="false" customHeight="false" outlineLevel="0" collapsed="false">
      <c r="A8" s="17" t="s">
        <v>45</v>
      </c>
      <c r="B8" s="5" t="s">
        <v>25</v>
      </c>
      <c r="C8" s="4" t="s">
        <v>23</v>
      </c>
      <c r="D8" s="5" t="n">
        <v>72</v>
      </c>
      <c r="E8" s="6" t="n">
        <v>295</v>
      </c>
      <c r="F8" s="4" t="s">
        <v>46</v>
      </c>
      <c r="G8" s="5" t="s">
        <v>25</v>
      </c>
      <c r="H8" s="5" t="s">
        <v>47</v>
      </c>
      <c r="I8" s="5" t="s">
        <v>70</v>
      </c>
      <c r="J8" s="26" t="s">
        <v>71</v>
      </c>
    </row>
    <row r="9" customFormat="false" ht="35.05" hidden="false" customHeight="false" outlineLevel="0" collapsed="false">
      <c r="A9" s="13" t="s">
        <v>48</v>
      </c>
      <c r="B9" s="11" t="s">
        <v>28</v>
      </c>
      <c r="C9" s="10" t="s">
        <v>26</v>
      </c>
      <c r="D9" s="11" t="n">
        <v>17</v>
      </c>
      <c r="E9" s="12" t="n">
        <v>185</v>
      </c>
      <c r="F9" s="10" t="s">
        <v>49</v>
      </c>
      <c r="G9" s="11" t="s">
        <v>28</v>
      </c>
      <c r="H9" s="11" t="s">
        <v>50</v>
      </c>
      <c r="I9" s="11" t="s">
        <v>72</v>
      </c>
      <c r="J9" s="27" t="s">
        <v>73</v>
      </c>
    </row>
    <row r="12" customFormat="false" ht="15" hidden="false" customHeight="false" outlineLevel="0" collapsed="false">
      <c r="A12" s="2" t="s">
        <v>74</v>
      </c>
      <c r="B12" s="2"/>
      <c r="C12" s="2"/>
      <c r="D12" s="2"/>
      <c r="E12" s="2"/>
    </row>
    <row r="13" customFormat="false" ht="23.85" hidden="false" customHeight="false" outlineLevel="0" collapsed="false">
      <c r="A13" s="3" t="s">
        <v>75</v>
      </c>
      <c r="B13" s="3" t="s">
        <v>76</v>
      </c>
      <c r="C13" s="3" t="s">
        <v>77</v>
      </c>
    </row>
    <row r="14" customFormat="false" ht="15" hidden="false" customHeight="false" outlineLevel="0" collapsed="false">
      <c r="A14" s="4" t="s">
        <v>17</v>
      </c>
      <c r="B14" s="20" t="s">
        <v>78</v>
      </c>
      <c r="C14" s="5" t="n">
        <v>7</v>
      </c>
    </row>
    <row r="15" customFormat="false" ht="15" hidden="false" customHeight="false" outlineLevel="0" collapsed="false">
      <c r="A15" s="7" t="s">
        <v>17</v>
      </c>
      <c r="B15" s="22" t="s">
        <v>79</v>
      </c>
      <c r="C15" s="8" t="n">
        <v>5</v>
      </c>
    </row>
    <row r="16" customFormat="false" ht="15" hidden="false" customHeight="false" outlineLevel="0" collapsed="false">
      <c r="A16" s="4" t="s">
        <v>17</v>
      </c>
      <c r="B16" s="20" t="s">
        <v>80</v>
      </c>
      <c r="C16" s="5" t="n">
        <v>4</v>
      </c>
    </row>
    <row r="17" customFormat="false" ht="15" hidden="false" customHeight="false" outlineLevel="0" collapsed="false">
      <c r="A17" s="7" t="s">
        <v>17</v>
      </c>
      <c r="B17" s="22" t="s">
        <v>81</v>
      </c>
      <c r="C17" s="8" t="n">
        <v>13</v>
      </c>
    </row>
    <row r="18" customFormat="false" ht="15" hidden="false" customHeight="false" outlineLevel="0" collapsed="false">
      <c r="A18" s="4" t="s">
        <v>20</v>
      </c>
      <c r="B18" s="20" t="s">
        <v>82</v>
      </c>
      <c r="C18" s="5" t="n">
        <v>9</v>
      </c>
    </row>
    <row r="19" customFormat="false" ht="15" hidden="false" customHeight="false" outlineLevel="0" collapsed="false">
      <c r="A19" s="7" t="s">
        <v>20</v>
      </c>
      <c r="B19" s="22" t="s">
        <v>83</v>
      </c>
      <c r="C19" s="8" t="n">
        <v>6</v>
      </c>
    </row>
    <row r="20" customFormat="false" ht="15" hidden="false" customHeight="false" outlineLevel="0" collapsed="false">
      <c r="A20" s="4" t="s">
        <v>20</v>
      </c>
      <c r="B20" s="20" t="s">
        <v>84</v>
      </c>
      <c r="C20" s="5" t="n">
        <v>7</v>
      </c>
    </row>
    <row r="21" customFormat="false" ht="15" hidden="false" customHeight="false" outlineLevel="0" collapsed="false">
      <c r="A21" s="7" t="s">
        <v>20</v>
      </c>
      <c r="B21" s="22" t="s">
        <v>85</v>
      </c>
      <c r="C21" s="8" t="n">
        <v>4</v>
      </c>
    </row>
    <row r="22" customFormat="false" ht="15" hidden="false" customHeight="false" outlineLevel="0" collapsed="false">
      <c r="A22" s="4" t="s">
        <v>20</v>
      </c>
      <c r="B22" s="20" t="s">
        <v>86</v>
      </c>
      <c r="C22" s="5" t="n">
        <v>3</v>
      </c>
    </row>
    <row r="23" customFormat="false" ht="15" hidden="false" customHeight="false" outlineLevel="0" collapsed="false">
      <c r="A23" s="7" t="s">
        <v>20</v>
      </c>
      <c r="B23" s="22" t="s">
        <v>87</v>
      </c>
      <c r="C23" s="8" t="n">
        <v>7</v>
      </c>
    </row>
    <row r="24" customFormat="false" ht="15" hidden="false" customHeight="false" outlineLevel="0" collapsed="false">
      <c r="A24" s="4" t="s">
        <v>20</v>
      </c>
      <c r="B24" s="20" t="s">
        <v>88</v>
      </c>
      <c r="C24" s="5" t="n">
        <v>9</v>
      </c>
    </row>
    <row r="25" customFormat="false" ht="15" hidden="false" customHeight="false" outlineLevel="0" collapsed="false">
      <c r="A25" s="7" t="s">
        <v>20</v>
      </c>
      <c r="B25" s="22" t="s">
        <v>89</v>
      </c>
      <c r="C25" s="8" t="n">
        <v>4</v>
      </c>
    </row>
    <row r="26" customFormat="false" ht="15" hidden="false" customHeight="false" outlineLevel="0" collapsed="false">
      <c r="A26" s="4" t="s">
        <v>20</v>
      </c>
      <c r="B26" s="20" t="s">
        <v>90</v>
      </c>
      <c r="C26" s="5" t="n">
        <v>4</v>
      </c>
    </row>
    <row r="27" customFormat="false" ht="15" hidden="false" customHeight="false" outlineLevel="0" collapsed="false">
      <c r="A27" s="7" t="s">
        <v>20</v>
      </c>
      <c r="B27" s="22" t="s">
        <v>91</v>
      </c>
      <c r="C27" s="8" t="n">
        <v>6</v>
      </c>
    </row>
    <row r="28" customFormat="false" ht="15" hidden="false" customHeight="false" outlineLevel="0" collapsed="false">
      <c r="A28" s="4" t="s">
        <v>20</v>
      </c>
      <c r="B28" s="20" t="s">
        <v>92</v>
      </c>
      <c r="C28" s="5" t="n">
        <v>6</v>
      </c>
    </row>
    <row r="29" customFormat="false" ht="15" hidden="false" customHeight="false" outlineLevel="0" collapsed="false">
      <c r="A29" s="7" t="s">
        <v>20</v>
      </c>
      <c r="B29" s="22" t="s">
        <v>93</v>
      </c>
      <c r="C29" s="8" t="n">
        <v>7</v>
      </c>
    </row>
    <row r="30" customFormat="false" ht="15" hidden="false" customHeight="false" outlineLevel="0" collapsed="false">
      <c r="A30" s="4" t="s">
        <v>20</v>
      </c>
      <c r="B30" s="20" t="s">
        <v>94</v>
      </c>
      <c r="C30" s="5" t="n">
        <v>2</v>
      </c>
    </row>
    <row r="31" customFormat="false" ht="15" hidden="false" customHeight="false" outlineLevel="0" collapsed="false">
      <c r="A31" s="7" t="s">
        <v>20</v>
      </c>
      <c r="B31" s="22" t="s">
        <v>95</v>
      </c>
      <c r="C31" s="8" t="n">
        <v>3</v>
      </c>
    </row>
    <row r="32" customFormat="false" ht="15" hidden="false" customHeight="false" outlineLevel="0" collapsed="false">
      <c r="A32" s="4" t="s">
        <v>20</v>
      </c>
      <c r="B32" s="20" t="s">
        <v>96</v>
      </c>
      <c r="C32" s="5" t="n">
        <v>7</v>
      </c>
    </row>
    <row r="33" customFormat="false" ht="15" hidden="false" customHeight="false" outlineLevel="0" collapsed="false">
      <c r="A33" s="7" t="s">
        <v>20</v>
      </c>
      <c r="B33" s="22" t="s">
        <v>97</v>
      </c>
      <c r="C33" s="8" t="n">
        <v>4</v>
      </c>
    </row>
    <row r="34" customFormat="false" ht="15" hidden="false" customHeight="false" outlineLevel="0" collapsed="false">
      <c r="A34" s="4" t="s">
        <v>20</v>
      </c>
      <c r="B34" s="20" t="s">
        <v>98</v>
      </c>
      <c r="C34" s="5" t="n">
        <v>10</v>
      </c>
    </row>
    <row r="35" customFormat="false" ht="15" hidden="false" customHeight="false" outlineLevel="0" collapsed="false">
      <c r="A35" s="7" t="s">
        <v>20</v>
      </c>
      <c r="B35" s="22" t="s">
        <v>99</v>
      </c>
      <c r="C35" s="8" t="n">
        <v>7</v>
      </c>
    </row>
    <row r="36" customFormat="false" ht="15" hidden="false" customHeight="false" outlineLevel="0" collapsed="false">
      <c r="A36" s="4" t="s">
        <v>20</v>
      </c>
      <c r="B36" s="20" t="s">
        <v>100</v>
      </c>
      <c r="C36" s="5" t="n">
        <v>5</v>
      </c>
    </row>
    <row r="37" customFormat="false" ht="15" hidden="false" customHeight="false" outlineLevel="0" collapsed="false">
      <c r="A37" s="7" t="s">
        <v>20</v>
      </c>
      <c r="B37" s="22" t="s">
        <v>101</v>
      </c>
      <c r="C37" s="8" t="n">
        <v>7</v>
      </c>
    </row>
    <row r="38" customFormat="false" ht="15" hidden="false" customHeight="false" outlineLevel="0" collapsed="false">
      <c r="A38" s="4" t="s">
        <v>20</v>
      </c>
      <c r="B38" s="20" t="s">
        <v>102</v>
      </c>
      <c r="C38" s="5" t="n">
        <v>4</v>
      </c>
    </row>
    <row r="39" customFormat="false" ht="15" hidden="false" customHeight="false" outlineLevel="0" collapsed="false">
      <c r="A39" s="7" t="s">
        <v>20</v>
      </c>
      <c r="B39" s="22" t="s">
        <v>103</v>
      </c>
      <c r="C39" s="8" t="n">
        <v>7</v>
      </c>
    </row>
    <row r="40" customFormat="false" ht="15" hidden="false" customHeight="false" outlineLevel="0" collapsed="false">
      <c r="A40" s="4" t="s">
        <v>20</v>
      </c>
      <c r="B40" s="20" t="s">
        <v>104</v>
      </c>
      <c r="C40" s="5" t="n">
        <v>3</v>
      </c>
    </row>
    <row r="41" customFormat="false" ht="15" hidden="false" customHeight="false" outlineLevel="0" collapsed="false">
      <c r="A41" s="7" t="s">
        <v>20</v>
      </c>
      <c r="B41" s="22" t="s">
        <v>105</v>
      </c>
      <c r="C41" s="8" t="n">
        <v>7</v>
      </c>
    </row>
    <row r="42" customFormat="false" ht="15" hidden="false" customHeight="false" outlineLevel="0" collapsed="false">
      <c r="A42" s="4" t="s">
        <v>20</v>
      </c>
      <c r="B42" s="20" t="s">
        <v>106</v>
      </c>
      <c r="C42" s="5" t="n">
        <v>9</v>
      </c>
    </row>
    <row r="43" customFormat="false" ht="15" hidden="false" customHeight="false" outlineLevel="0" collapsed="false">
      <c r="A43" s="7" t="s">
        <v>20</v>
      </c>
      <c r="B43" s="22" t="s">
        <v>107</v>
      </c>
      <c r="C43" s="8" t="n">
        <v>11</v>
      </c>
    </row>
    <row r="44" customFormat="false" ht="15" hidden="false" customHeight="false" outlineLevel="0" collapsed="false">
      <c r="A44" s="4" t="s">
        <v>20</v>
      </c>
      <c r="B44" s="20" t="s">
        <v>108</v>
      </c>
      <c r="C44" s="5" t="n">
        <v>7</v>
      </c>
    </row>
    <row r="45" customFormat="false" ht="15" hidden="false" customHeight="false" outlineLevel="0" collapsed="false">
      <c r="A45" s="7" t="s">
        <v>20</v>
      </c>
      <c r="B45" s="22" t="s">
        <v>109</v>
      </c>
      <c r="C45" s="8" t="n">
        <v>6</v>
      </c>
    </row>
    <row r="46" customFormat="false" ht="15" hidden="false" customHeight="false" outlineLevel="0" collapsed="false">
      <c r="A46" s="4" t="s">
        <v>20</v>
      </c>
      <c r="B46" s="20" t="s">
        <v>110</v>
      </c>
      <c r="C46" s="5" t="n">
        <v>5</v>
      </c>
    </row>
    <row r="47" customFormat="false" ht="15" hidden="false" customHeight="false" outlineLevel="0" collapsed="false">
      <c r="A47" s="7" t="s">
        <v>20</v>
      </c>
      <c r="B47" s="22" t="s">
        <v>111</v>
      </c>
      <c r="C47" s="8" t="n">
        <v>6</v>
      </c>
    </row>
    <row r="48" customFormat="false" ht="15" hidden="false" customHeight="false" outlineLevel="0" collapsed="false">
      <c r="A48" s="4" t="s">
        <v>20</v>
      </c>
      <c r="B48" s="20" t="s">
        <v>112</v>
      </c>
      <c r="C48" s="5" t="n">
        <v>6</v>
      </c>
    </row>
    <row r="49" customFormat="false" ht="15" hidden="false" customHeight="false" outlineLevel="0" collapsed="false">
      <c r="A49" s="7" t="s">
        <v>20</v>
      </c>
      <c r="B49" s="22" t="s">
        <v>113</v>
      </c>
      <c r="C49" s="8" t="n">
        <v>4</v>
      </c>
    </row>
    <row r="50" customFormat="false" ht="15" hidden="false" customHeight="false" outlineLevel="0" collapsed="false">
      <c r="A50" s="4" t="s">
        <v>20</v>
      </c>
      <c r="B50" s="20" t="s">
        <v>114</v>
      </c>
      <c r="C50" s="5" t="n">
        <v>7</v>
      </c>
    </row>
    <row r="51" customFormat="false" ht="15" hidden="false" customHeight="false" outlineLevel="0" collapsed="false">
      <c r="A51" s="7" t="s">
        <v>20</v>
      </c>
      <c r="B51" s="22" t="s">
        <v>115</v>
      </c>
      <c r="C51" s="8" t="n">
        <v>8</v>
      </c>
    </row>
    <row r="52" customFormat="false" ht="15" hidden="false" customHeight="false" outlineLevel="0" collapsed="false">
      <c r="A52" s="4" t="s">
        <v>20</v>
      </c>
      <c r="B52" s="20" t="s">
        <v>116</v>
      </c>
      <c r="C52" s="5" t="n">
        <v>10</v>
      </c>
    </row>
    <row r="53" customFormat="false" ht="15" hidden="false" customHeight="false" outlineLevel="0" collapsed="false">
      <c r="A53" s="7" t="s">
        <v>20</v>
      </c>
      <c r="B53" s="22" t="s">
        <v>117</v>
      </c>
      <c r="C53" s="8" t="n">
        <v>9</v>
      </c>
    </row>
    <row r="55" customFormat="false" ht="15" hidden="false" customHeight="false" outlineLevel="0" collapsed="false">
      <c r="A55" s="2" t="s">
        <v>118</v>
      </c>
      <c r="B55" s="2"/>
      <c r="C55" s="2"/>
      <c r="D55" s="2"/>
      <c r="E55" s="2"/>
    </row>
    <row r="56" customFormat="false" ht="23.85" hidden="false" customHeight="false" outlineLevel="0" collapsed="false">
      <c r="A56" s="3" t="s">
        <v>75</v>
      </c>
      <c r="B56" s="3" t="s">
        <v>76</v>
      </c>
      <c r="C56" s="3" t="s">
        <v>77</v>
      </c>
    </row>
    <row r="57" customFormat="false" ht="15" hidden="false" customHeight="false" outlineLevel="0" collapsed="false">
      <c r="A57" s="7" t="s">
        <v>10</v>
      </c>
      <c r="B57" s="22" t="s">
        <v>119</v>
      </c>
      <c r="C57" s="8" t="n">
        <v>9</v>
      </c>
    </row>
    <row r="58" customFormat="false" ht="15" hidden="false" customHeight="false" outlineLevel="0" collapsed="false">
      <c r="A58" s="4" t="s">
        <v>10</v>
      </c>
      <c r="B58" s="20" t="s">
        <v>120</v>
      </c>
      <c r="C58" s="5" t="n">
        <v>6</v>
      </c>
    </row>
    <row r="59" customFormat="false" ht="15" hidden="false" customHeight="false" outlineLevel="0" collapsed="false">
      <c r="A59" s="7" t="s">
        <v>10</v>
      </c>
      <c r="B59" s="22" t="s">
        <v>121</v>
      </c>
      <c r="C59" s="8" t="n">
        <v>6</v>
      </c>
    </row>
    <row r="60" customFormat="false" ht="15" hidden="false" customHeight="false" outlineLevel="0" collapsed="false">
      <c r="A60" s="4" t="s">
        <v>13</v>
      </c>
      <c r="B60" s="20" t="s">
        <v>122</v>
      </c>
      <c r="C60" s="5" t="n">
        <v>8</v>
      </c>
    </row>
    <row r="61" customFormat="false" ht="15" hidden="false" customHeight="false" outlineLevel="0" collapsed="false">
      <c r="A61" s="7" t="s">
        <v>13</v>
      </c>
      <c r="B61" s="22" t="s">
        <v>123</v>
      </c>
      <c r="C61" s="8" t="n">
        <v>12</v>
      </c>
    </row>
    <row r="62" customFormat="false" ht="15" hidden="false" customHeight="false" outlineLevel="0" collapsed="false">
      <c r="A62" s="4" t="s">
        <v>13</v>
      </c>
      <c r="B62" s="20" t="s">
        <v>124</v>
      </c>
      <c r="C62" s="5" t="n">
        <v>7</v>
      </c>
    </row>
    <row r="63" customFormat="false" ht="15" hidden="false" customHeight="false" outlineLevel="0" collapsed="false">
      <c r="A63" s="7" t="s">
        <v>13</v>
      </c>
      <c r="B63" s="22" t="s">
        <v>125</v>
      </c>
      <c r="C63" s="8" t="n">
        <v>10</v>
      </c>
    </row>
    <row r="64" customFormat="false" ht="15" hidden="false" customHeight="false" outlineLevel="0" collapsed="false">
      <c r="A64" s="4" t="s">
        <v>13</v>
      </c>
      <c r="B64" s="20" t="s">
        <v>126</v>
      </c>
      <c r="C64" s="5" t="n">
        <v>9</v>
      </c>
    </row>
    <row r="65" customFormat="false" ht="15" hidden="false" customHeight="false" outlineLevel="0" collapsed="false">
      <c r="A65" s="7" t="s">
        <v>13</v>
      </c>
      <c r="B65" s="22" t="s">
        <v>127</v>
      </c>
      <c r="C65" s="8" t="n">
        <v>8</v>
      </c>
    </row>
    <row r="66" customFormat="false" ht="15" hidden="false" customHeight="false" outlineLevel="0" collapsed="false">
      <c r="A66" s="4" t="s">
        <v>13</v>
      </c>
      <c r="B66" s="20" t="s">
        <v>128</v>
      </c>
      <c r="C66" s="5" t="n">
        <v>6</v>
      </c>
    </row>
    <row r="67" customFormat="false" ht="15" hidden="false" customHeight="false" outlineLevel="0" collapsed="false">
      <c r="A67" s="7" t="s">
        <v>13</v>
      </c>
      <c r="B67" s="22" t="s">
        <v>129</v>
      </c>
      <c r="C67" s="8" t="n">
        <v>9</v>
      </c>
    </row>
    <row r="68" customFormat="false" ht="15" hidden="false" customHeight="false" outlineLevel="0" collapsed="false">
      <c r="A68" s="4" t="s">
        <v>13</v>
      </c>
      <c r="B68" s="20" t="s">
        <v>130</v>
      </c>
      <c r="C68" s="5" t="n">
        <v>7</v>
      </c>
    </row>
    <row r="69" customFormat="false" ht="15" hidden="false" customHeight="false" outlineLevel="0" collapsed="false">
      <c r="A69" s="7" t="s">
        <v>13</v>
      </c>
      <c r="B69" s="22" t="s">
        <v>131</v>
      </c>
      <c r="C69" s="8" t="n">
        <v>4</v>
      </c>
    </row>
    <row r="70" customFormat="false" ht="15" hidden="false" customHeight="false" outlineLevel="0" collapsed="false">
      <c r="A70" s="4" t="s">
        <v>13</v>
      </c>
      <c r="B70" s="20" t="s">
        <v>132</v>
      </c>
      <c r="C70" s="5" t="n">
        <v>14</v>
      </c>
    </row>
    <row r="71" customFormat="false" ht="15" hidden="false" customHeight="false" outlineLevel="0" collapsed="false">
      <c r="A71" s="7" t="s">
        <v>13</v>
      </c>
      <c r="B71" s="22" t="s">
        <v>133</v>
      </c>
      <c r="C71" s="8" t="n">
        <v>9</v>
      </c>
    </row>
    <row r="72" customFormat="false" ht="15" hidden="false" customHeight="false" outlineLevel="0" collapsed="false">
      <c r="A72" s="4" t="s">
        <v>13</v>
      </c>
      <c r="B72" s="20" t="s">
        <v>134</v>
      </c>
      <c r="C72" s="5" t="n">
        <v>10</v>
      </c>
    </row>
    <row r="73" customFormat="false" ht="15" hidden="false" customHeight="false" outlineLevel="0" collapsed="false">
      <c r="A73" s="7" t="s">
        <v>13</v>
      </c>
      <c r="B73" s="22" t="s">
        <v>135</v>
      </c>
      <c r="C73" s="8" t="n">
        <v>8</v>
      </c>
    </row>
    <row r="74" customFormat="false" ht="23.85" hidden="false" customHeight="false" outlineLevel="0" collapsed="false">
      <c r="A74" s="4" t="s">
        <v>15</v>
      </c>
      <c r="B74" s="20" t="s">
        <v>136</v>
      </c>
      <c r="C74" s="6" t="n">
        <v>91.5</v>
      </c>
    </row>
    <row r="76" customFormat="false" ht="15" hidden="false" customHeight="false" outlineLevel="0" collapsed="false">
      <c r="A76" s="2" t="s">
        <v>137</v>
      </c>
      <c r="B76" s="2"/>
      <c r="C76" s="2"/>
      <c r="D76" s="2"/>
      <c r="E76" s="2"/>
    </row>
    <row r="77" customFormat="false" ht="23.85" hidden="false" customHeight="false" outlineLevel="0" collapsed="false">
      <c r="A77" s="3" t="s">
        <v>75</v>
      </c>
      <c r="B77" s="3" t="s">
        <v>76</v>
      </c>
      <c r="C77" s="3" t="s">
        <v>77</v>
      </c>
    </row>
    <row r="78" customFormat="false" ht="23.85" hidden="false" customHeight="false" outlineLevel="0" collapsed="false">
      <c r="A78" s="4" t="s">
        <v>23</v>
      </c>
      <c r="B78" s="20" t="s">
        <v>138</v>
      </c>
      <c r="C78" s="5" t="n">
        <v>295</v>
      </c>
    </row>
    <row r="80" customFormat="false" ht="15" hidden="false" customHeight="false" outlineLevel="0" collapsed="false">
      <c r="A80" s="23" t="s">
        <v>139</v>
      </c>
      <c r="B80" s="23"/>
      <c r="C80" s="23"/>
      <c r="D80" s="23"/>
      <c r="E80" s="23"/>
    </row>
    <row r="81" customFormat="false" ht="23.85" hidden="false" customHeight="false" outlineLevel="0" collapsed="false">
      <c r="A81" s="3" t="s">
        <v>75</v>
      </c>
      <c r="B81" s="3" t="s">
        <v>76</v>
      </c>
      <c r="C81" s="3" t="s">
        <v>77</v>
      </c>
    </row>
    <row r="82" customFormat="false" ht="15" hidden="false" customHeight="false" outlineLevel="0" collapsed="false">
      <c r="A82" s="28" t="s">
        <v>26</v>
      </c>
      <c r="B82" s="29" t="s">
        <v>140</v>
      </c>
      <c r="C82" s="30" t="n">
        <v>15</v>
      </c>
    </row>
    <row r="83" customFormat="false" ht="15" hidden="false" customHeight="false" outlineLevel="0" collapsed="false">
      <c r="A83" s="28" t="s">
        <v>26</v>
      </c>
      <c r="B83" s="29" t="s">
        <v>141</v>
      </c>
      <c r="C83" s="30" t="n">
        <v>9</v>
      </c>
    </row>
    <row r="84" customFormat="false" ht="15" hidden="false" customHeight="false" outlineLevel="0" collapsed="false">
      <c r="A84" s="28" t="s">
        <v>26</v>
      </c>
      <c r="B84" s="29" t="s">
        <v>142</v>
      </c>
      <c r="C84" s="30" t="n">
        <v>11</v>
      </c>
    </row>
    <row r="85" customFormat="false" ht="15" hidden="false" customHeight="false" outlineLevel="0" collapsed="false">
      <c r="A85" s="28" t="s">
        <v>26</v>
      </c>
      <c r="B85" s="29" t="s">
        <v>143</v>
      </c>
      <c r="C85" s="30" t="n">
        <v>10</v>
      </c>
    </row>
    <row r="86" customFormat="false" ht="15" hidden="false" customHeight="false" outlineLevel="0" collapsed="false">
      <c r="A86" s="28" t="s">
        <v>26</v>
      </c>
      <c r="B86" s="29" t="s">
        <v>144</v>
      </c>
      <c r="C86" s="30" t="n">
        <v>14</v>
      </c>
    </row>
    <row r="87" customFormat="false" ht="15" hidden="false" customHeight="false" outlineLevel="0" collapsed="false">
      <c r="A87" s="28" t="s">
        <v>26</v>
      </c>
      <c r="B87" s="29" t="s">
        <v>145</v>
      </c>
      <c r="C87" s="30" t="n">
        <v>11</v>
      </c>
    </row>
    <row r="88" customFormat="false" ht="15" hidden="false" customHeight="false" outlineLevel="0" collapsed="false">
      <c r="A88" s="28" t="s">
        <v>26</v>
      </c>
      <c r="B88" s="29" t="s">
        <v>146</v>
      </c>
      <c r="C88" s="30" t="n">
        <v>9</v>
      </c>
    </row>
    <row r="89" customFormat="false" ht="15" hidden="false" customHeight="false" outlineLevel="0" collapsed="false">
      <c r="A89" s="28" t="s">
        <v>26</v>
      </c>
      <c r="B89" s="29" t="s">
        <v>147</v>
      </c>
      <c r="C89" s="30" t="n">
        <v>17</v>
      </c>
    </row>
    <row r="90" customFormat="false" ht="15" hidden="false" customHeight="false" outlineLevel="0" collapsed="false">
      <c r="A90" s="28" t="s">
        <v>26</v>
      </c>
      <c r="B90" s="29" t="s">
        <v>148</v>
      </c>
      <c r="C90" s="30" t="n">
        <v>15</v>
      </c>
    </row>
    <row r="91" customFormat="false" ht="15" hidden="false" customHeight="false" outlineLevel="0" collapsed="false">
      <c r="A91" s="28" t="s">
        <v>26</v>
      </c>
      <c r="B91" s="29" t="s">
        <v>149</v>
      </c>
      <c r="C91" s="30" t="n">
        <v>10</v>
      </c>
    </row>
    <row r="92" customFormat="false" ht="15" hidden="false" customHeight="false" outlineLevel="0" collapsed="false">
      <c r="A92" s="28" t="s">
        <v>26</v>
      </c>
      <c r="B92" s="29" t="s">
        <v>150</v>
      </c>
      <c r="C92" s="30" t="n">
        <v>4</v>
      </c>
    </row>
    <row r="93" customFormat="false" ht="15" hidden="false" customHeight="false" outlineLevel="0" collapsed="false">
      <c r="A93" s="28" t="s">
        <v>26</v>
      </c>
      <c r="B93" s="29" t="s">
        <v>151</v>
      </c>
      <c r="C93" s="30" t="n">
        <v>4</v>
      </c>
    </row>
    <row r="94" customFormat="false" ht="15" hidden="false" customHeight="false" outlineLevel="0" collapsed="false">
      <c r="A94" s="28" t="s">
        <v>26</v>
      </c>
      <c r="B94" s="29" t="s">
        <v>152</v>
      </c>
      <c r="C94" s="30" t="n">
        <v>4</v>
      </c>
    </row>
    <row r="95" customFormat="false" ht="15" hidden="false" customHeight="false" outlineLevel="0" collapsed="false">
      <c r="A95" s="28" t="s">
        <v>26</v>
      </c>
      <c r="B95" s="29" t="s">
        <v>153</v>
      </c>
      <c r="C95" s="30" t="n">
        <v>10</v>
      </c>
    </row>
    <row r="96" customFormat="false" ht="15" hidden="false" customHeight="false" outlineLevel="0" collapsed="false">
      <c r="A96" s="28" t="s">
        <v>26</v>
      </c>
      <c r="B96" s="29" t="s">
        <v>82</v>
      </c>
      <c r="C96" s="30" t="n">
        <v>17</v>
      </c>
    </row>
    <row r="97" customFormat="false" ht="15" hidden="false" customHeight="false" outlineLevel="0" collapsed="false">
      <c r="A97" s="28" t="s">
        <v>26</v>
      </c>
      <c r="B97" s="29" t="s">
        <v>154</v>
      </c>
      <c r="C97" s="30" t="n">
        <v>20</v>
      </c>
    </row>
    <row r="98" customFormat="false" ht="15" hidden="false" customHeight="false" outlineLevel="0" collapsed="false">
      <c r="A98" s="28" t="s">
        <v>26</v>
      </c>
      <c r="B98" s="29" t="s">
        <v>155</v>
      </c>
      <c r="C98" s="30" t="n">
        <v>5</v>
      </c>
    </row>
  </sheetData>
  <mergeCells count="6">
    <mergeCell ref="A1:J1"/>
    <mergeCell ref="A3:J3"/>
    <mergeCell ref="A12:E12"/>
    <mergeCell ref="A55:E55"/>
    <mergeCell ref="A76:E76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36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31" t="s">
        <v>157</v>
      </c>
      <c r="B2" s="31"/>
      <c r="C2" s="31"/>
      <c r="D2" s="31"/>
      <c r="E2" s="31"/>
      <c r="F2" s="31"/>
      <c r="G2" s="31"/>
      <c r="H2" s="31"/>
      <c r="I2" s="31"/>
      <c r="J2" s="31"/>
    </row>
    <row r="4" customFormat="false" ht="23.85" hidden="false" customHeight="false" outlineLevel="0" collapsed="false">
      <c r="A4" s="3" t="s">
        <v>32</v>
      </c>
      <c r="B4" s="3" t="s">
        <v>4</v>
      </c>
      <c r="C4" s="3" t="s">
        <v>64</v>
      </c>
      <c r="D4" s="3" t="s">
        <v>5</v>
      </c>
      <c r="E4" s="3" t="s">
        <v>6</v>
      </c>
      <c r="F4" s="3" t="s">
        <v>34</v>
      </c>
      <c r="G4" s="3" t="s">
        <v>35</v>
      </c>
      <c r="H4" s="3" t="s">
        <v>36</v>
      </c>
      <c r="I4" s="3" t="s">
        <v>65</v>
      </c>
      <c r="J4" s="3" t="s">
        <v>66</v>
      </c>
    </row>
    <row r="5" customFormat="false" ht="23.85" hidden="false" customHeight="false" outlineLevel="0" collapsed="false">
      <c r="A5" s="17" t="s">
        <v>158</v>
      </c>
      <c r="B5" s="5" t="s">
        <v>19</v>
      </c>
      <c r="C5" s="4" t="s">
        <v>159</v>
      </c>
      <c r="D5" s="5" t="n">
        <v>134</v>
      </c>
      <c r="E5" s="6" t="n">
        <v>488.5</v>
      </c>
      <c r="F5" s="4" t="s">
        <v>160</v>
      </c>
      <c r="G5" s="5" t="s">
        <v>19</v>
      </c>
      <c r="H5" s="5" t="s">
        <v>161</v>
      </c>
      <c r="I5" s="5" t="s">
        <v>162</v>
      </c>
      <c r="J5" s="32" t="s">
        <v>163</v>
      </c>
    </row>
    <row r="6" customFormat="false" ht="15" hidden="false" customHeight="false" outlineLevel="0" collapsed="false">
      <c r="A6" s="18" t="s">
        <v>164</v>
      </c>
      <c r="B6" s="8" t="s">
        <v>25</v>
      </c>
      <c r="C6" s="7" t="s">
        <v>23</v>
      </c>
      <c r="D6" s="8" t="n">
        <v>72</v>
      </c>
      <c r="E6" s="9" t="n">
        <v>295</v>
      </c>
      <c r="F6" s="7" t="s">
        <v>46</v>
      </c>
      <c r="G6" s="8" t="s">
        <v>25</v>
      </c>
      <c r="H6" s="8" t="s">
        <v>47</v>
      </c>
      <c r="I6" s="8" t="s">
        <v>70</v>
      </c>
      <c r="J6" s="25" t="s">
        <v>68</v>
      </c>
    </row>
    <row r="7" customFormat="false" ht="15" hidden="false" customHeight="false" outlineLevel="0" collapsed="false">
      <c r="A7" s="13" t="s">
        <v>165</v>
      </c>
      <c r="B7" s="11" t="s">
        <v>28</v>
      </c>
      <c r="C7" s="10" t="s">
        <v>26</v>
      </c>
      <c r="D7" s="11" t="n">
        <v>17</v>
      </c>
      <c r="E7" s="12" t="n">
        <v>185</v>
      </c>
      <c r="F7" s="10" t="s">
        <v>49</v>
      </c>
      <c r="G7" s="11" t="s">
        <v>28</v>
      </c>
      <c r="H7" s="11" t="s">
        <v>50</v>
      </c>
      <c r="I7" s="11" t="s">
        <v>72</v>
      </c>
      <c r="J7" s="27" t="s">
        <v>73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22" min="3" style="0" width="4.5"/>
  </cols>
  <sheetData>
    <row r="1" customFormat="false" ht="36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customFormat="false" ht="23.85" hidden="false" customHeight="false" outlineLevel="0" collapsed="false">
      <c r="A3" s="3" t="s">
        <v>167</v>
      </c>
      <c r="B3" s="3" t="s">
        <v>168</v>
      </c>
      <c r="C3" s="3" t="s">
        <v>169</v>
      </c>
      <c r="D3" s="3" t="s">
        <v>170</v>
      </c>
      <c r="E3" s="3" t="s">
        <v>171</v>
      </c>
      <c r="F3" s="3" t="s">
        <v>172</v>
      </c>
      <c r="G3" s="3" t="s">
        <v>173</v>
      </c>
      <c r="H3" s="3" t="s">
        <v>174</v>
      </c>
      <c r="I3" s="3" t="s">
        <v>175</v>
      </c>
      <c r="J3" s="3" t="s">
        <v>176</v>
      </c>
      <c r="K3" s="3" t="s">
        <v>177</v>
      </c>
      <c r="L3" s="3" t="s">
        <v>178</v>
      </c>
      <c r="M3" s="3" t="s">
        <v>179</v>
      </c>
      <c r="N3" s="3" t="s">
        <v>180</v>
      </c>
      <c r="O3" s="3" t="s">
        <v>181</v>
      </c>
      <c r="P3" s="3" t="s">
        <v>182</v>
      </c>
      <c r="Q3" s="3" t="s">
        <v>183</v>
      </c>
      <c r="R3" s="3" t="s">
        <v>184</v>
      </c>
      <c r="S3" s="3" t="s">
        <v>185</v>
      </c>
      <c r="T3" s="3" t="s">
        <v>186</v>
      </c>
      <c r="U3" s="3" t="s">
        <v>187</v>
      </c>
      <c r="V3" s="3" t="s">
        <v>188</v>
      </c>
    </row>
    <row r="4" customFormat="false" ht="6.75" hidden="false" customHeight="true" outlineLevel="0" collapsed="false">
      <c r="A4" s="2" t="s">
        <v>189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Format="false" ht="15" hidden="false" customHeight="false" outlineLevel="0" collapsed="false">
      <c r="A5" s="22" t="s">
        <v>190</v>
      </c>
      <c r="B5" s="8" t="s">
        <v>191</v>
      </c>
      <c r="C5" s="33"/>
      <c r="D5" s="15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customFormat="false" ht="15" hidden="false" customHeight="false" outlineLevel="0" collapsed="false">
      <c r="A6" s="34" t="s">
        <v>192</v>
      </c>
      <c r="B6" s="35" t="s">
        <v>49</v>
      </c>
      <c r="C6" s="36"/>
      <c r="D6" s="36"/>
      <c r="E6" s="36"/>
      <c r="F6" s="37"/>
      <c r="G6" s="37"/>
      <c r="H6" s="37"/>
      <c r="I6" s="37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customFormat="false" ht="15" hidden="false" customHeight="false" outlineLevel="0" collapsed="false">
      <c r="A7" s="22" t="s">
        <v>193</v>
      </c>
      <c r="B7" s="8" t="s">
        <v>194</v>
      </c>
      <c r="C7" s="33"/>
      <c r="D7" s="33"/>
      <c r="E7" s="33"/>
      <c r="F7" s="33"/>
      <c r="G7" s="33"/>
      <c r="H7" s="15"/>
      <c r="I7" s="15"/>
      <c r="J7" s="15"/>
      <c r="K7" s="15"/>
      <c r="L7" s="15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customFormat="false" ht="15" hidden="false" customHeight="false" outlineLevel="0" collapsed="false">
      <c r="A8" s="22" t="s">
        <v>195</v>
      </c>
      <c r="B8" s="8" t="s">
        <v>196</v>
      </c>
      <c r="C8" s="33"/>
      <c r="D8" s="33"/>
      <c r="E8" s="33"/>
      <c r="F8" s="33"/>
      <c r="G8" s="33"/>
      <c r="H8" s="33"/>
      <c r="I8" s="33"/>
      <c r="J8" s="33"/>
      <c r="K8" s="15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customFormat="false" ht="15" hidden="false" customHeight="false" outlineLevel="0" collapsed="false">
      <c r="A9" s="22" t="s">
        <v>197</v>
      </c>
      <c r="B9" s="8" t="s">
        <v>198</v>
      </c>
      <c r="C9" s="33"/>
      <c r="D9" s="33"/>
      <c r="E9" s="33"/>
      <c r="F9" s="33"/>
      <c r="G9" s="33"/>
      <c r="H9" s="33"/>
      <c r="I9" s="33"/>
      <c r="J9" s="33"/>
      <c r="K9" s="15"/>
      <c r="L9" s="15"/>
      <c r="M9" s="15"/>
      <c r="N9" s="33"/>
      <c r="O9" s="33"/>
      <c r="P9" s="33"/>
      <c r="Q9" s="33"/>
      <c r="R9" s="33"/>
      <c r="S9" s="33"/>
      <c r="T9" s="33"/>
      <c r="U9" s="33"/>
      <c r="V9" s="33"/>
    </row>
    <row r="10" customFormat="false" ht="15" hidden="false" customHeight="false" outlineLevel="0" collapsed="false">
      <c r="A10" s="22" t="s">
        <v>199</v>
      </c>
      <c r="B10" s="8" t="s">
        <v>200</v>
      </c>
      <c r="C10" s="33"/>
      <c r="D10" s="33"/>
      <c r="E10" s="33"/>
      <c r="F10" s="33"/>
      <c r="G10" s="33"/>
      <c r="H10" s="33"/>
      <c r="I10" s="33"/>
      <c r="J10" s="33"/>
      <c r="K10" s="15"/>
      <c r="L10" s="15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 customFormat="false" ht="15" hidden="false" customHeight="false" outlineLevel="0" collapsed="false">
      <c r="A11" s="22" t="s">
        <v>201</v>
      </c>
      <c r="B11" s="8" t="s">
        <v>46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15"/>
      <c r="Q11" s="15"/>
      <c r="R11" s="15"/>
      <c r="S11" s="15"/>
      <c r="T11" s="15"/>
      <c r="U11" s="15"/>
      <c r="V11" s="33"/>
    </row>
    <row r="13" customFormat="false" ht="6.75" hidden="false" customHeight="true" outlineLevel="0" collapsed="false">
      <c r="A13" s="2" t="s">
        <v>202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5" hidden="false" customHeight="false" outlineLevel="0" collapsed="false">
      <c r="A14" s="22" t="s">
        <v>203</v>
      </c>
      <c r="B14" s="8" t="s">
        <v>39</v>
      </c>
      <c r="C14" s="33"/>
      <c r="D14" s="15"/>
      <c r="E14" s="15"/>
      <c r="F14" s="15"/>
      <c r="G14" s="15"/>
      <c r="H14" s="15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customFormat="false" ht="15" hidden="false" customHeight="false" outlineLevel="0" collapsed="false">
      <c r="A15" s="34" t="s">
        <v>204</v>
      </c>
      <c r="B15" s="35" t="s">
        <v>49</v>
      </c>
      <c r="C15" s="36"/>
      <c r="D15" s="36"/>
      <c r="E15" s="36"/>
      <c r="F15" s="37"/>
      <c r="G15" s="37"/>
      <c r="H15" s="37"/>
      <c r="I15" s="37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customFormat="false" ht="15" hidden="false" customHeight="false" outlineLevel="0" collapsed="false">
      <c r="A16" s="22" t="s">
        <v>205</v>
      </c>
      <c r="B16" s="8" t="s">
        <v>43</v>
      </c>
      <c r="C16" s="33"/>
      <c r="D16" s="33"/>
      <c r="E16" s="33"/>
      <c r="F16" s="33"/>
      <c r="G16" s="33"/>
      <c r="H16" s="33"/>
      <c r="I16" s="33"/>
      <c r="J16" s="33"/>
      <c r="K16" s="15"/>
      <c r="L16" s="15"/>
      <c r="M16" s="15"/>
      <c r="N16" s="15"/>
      <c r="O16" s="15"/>
      <c r="P16" s="33"/>
      <c r="Q16" s="33"/>
      <c r="R16" s="33"/>
      <c r="S16" s="33"/>
      <c r="T16" s="33"/>
      <c r="U16" s="33"/>
      <c r="V16" s="33"/>
    </row>
    <row r="17" customFormat="false" ht="15" hidden="false" customHeight="false" outlineLevel="0" collapsed="false">
      <c r="A17" s="22" t="s">
        <v>206</v>
      </c>
      <c r="B17" s="8" t="s">
        <v>46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15"/>
      <c r="Q17" s="15"/>
      <c r="R17" s="15"/>
      <c r="S17" s="15"/>
      <c r="T17" s="15"/>
      <c r="U17" s="15"/>
      <c r="V17" s="33"/>
    </row>
    <row r="19" customFormat="false" ht="6.75" hidden="false" customHeight="true" outlineLevel="0" collapsed="false">
      <c r="A19" s="2" t="s">
        <v>207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" hidden="false" customHeight="false" outlineLevel="0" collapsed="false">
      <c r="A20" s="22" t="s">
        <v>208</v>
      </c>
      <c r="B20" s="8" t="s">
        <v>160</v>
      </c>
      <c r="C20" s="33"/>
      <c r="D20" s="15"/>
      <c r="E20" s="15"/>
      <c r="F20" s="15"/>
      <c r="G20" s="15"/>
      <c r="H20" s="15"/>
      <c r="I20" s="15"/>
      <c r="J20" s="15"/>
      <c r="K20" s="15"/>
      <c r="L20" s="15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customFormat="false" ht="15" hidden="false" customHeight="false" outlineLevel="0" collapsed="false">
      <c r="A21" s="34" t="s">
        <v>209</v>
      </c>
      <c r="B21" s="35" t="s">
        <v>49</v>
      </c>
      <c r="C21" s="36"/>
      <c r="D21" s="36"/>
      <c r="E21" s="36"/>
      <c r="F21" s="37"/>
      <c r="G21" s="37"/>
      <c r="H21" s="37"/>
      <c r="I21" s="37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customFormat="false" ht="15" hidden="false" customHeight="false" outlineLevel="0" collapsed="false">
      <c r="A22" s="22" t="s">
        <v>210</v>
      </c>
      <c r="B22" s="8" t="s">
        <v>46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15"/>
      <c r="Q22" s="15"/>
      <c r="R22" s="15"/>
      <c r="S22" s="15"/>
      <c r="T22" s="15"/>
      <c r="U22" s="15"/>
      <c r="V22" s="33"/>
    </row>
  </sheetData>
  <mergeCells count="4">
    <mergeCell ref="A1:W1"/>
    <mergeCell ref="A4:V4"/>
    <mergeCell ref="A13:V13"/>
    <mergeCell ref="A19:V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4"/>
    <col collapsed="false" customWidth="true" hidden="false" outlineLevel="0" max="5" min="5" style="0" width="12"/>
  </cols>
  <sheetData>
    <row r="1" customFormat="false" ht="36" hidden="false" customHeight="true" outlineLevel="0" collapsed="false">
      <c r="A1" s="1" t="s">
        <v>211</v>
      </c>
      <c r="B1" s="1"/>
      <c r="C1" s="1"/>
      <c r="D1" s="1"/>
      <c r="E1" s="1"/>
    </row>
    <row r="3" customFormat="false" ht="23.85" hidden="false" customHeight="false" outlineLevel="0" collapsed="false">
      <c r="A3" s="3" t="s">
        <v>212</v>
      </c>
      <c r="B3" s="3" t="s">
        <v>213</v>
      </c>
      <c r="C3" s="3" t="s">
        <v>214</v>
      </c>
      <c r="D3" s="3" t="s">
        <v>215</v>
      </c>
      <c r="E3" s="3" t="s">
        <v>216</v>
      </c>
    </row>
    <row r="4" customFormat="false" ht="15" hidden="false" customHeight="false" outlineLevel="0" collapsed="false">
      <c r="A4" s="17" t="s">
        <v>217</v>
      </c>
      <c r="B4" s="5" t="s">
        <v>218</v>
      </c>
      <c r="C4" s="5" t="s">
        <v>219</v>
      </c>
      <c r="D4" s="5" t="s">
        <v>220</v>
      </c>
      <c r="E4" s="4" t="s">
        <v>163</v>
      </c>
    </row>
    <row r="5" customFormat="false" ht="15" hidden="false" customHeight="false" outlineLevel="0" collapsed="false">
      <c r="A5" s="18" t="s">
        <v>221</v>
      </c>
      <c r="B5" s="8" t="s">
        <v>222</v>
      </c>
      <c r="C5" s="8" t="s">
        <v>222</v>
      </c>
      <c r="D5" s="8" t="s">
        <v>222</v>
      </c>
      <c r="E5" s="27" t="s">
        <v>73</v>
      </c>
    </row>
    <row r="6" customFormat="false" ht="15" hidden="false" customHeight="false" outlineLevel="0" collapsed="false">
      <c r="A6" s="17" t="s">
        <v>223</v>
      </c>
      <c r="B6" s="5" t="s">
        <v>224</v>
      </c>
      <c r="C6" s="5" t="s">
        <v>225</v>
      </c>
      <c r="D6" s="5" t="s">
        <v>226</v>
      </c>
      <c r="E6" s="4" t="s">
        <v>163</v>
      </c>
    </row>
    <row r="7" customFormat="false" ht="15" hidden="false" customHeight="false" outlineLevel="0" collapsed="false">
      <c r="A7" s="18" t="s">
        <v>227</v>
      </c>
      <c r="B7" s="8" t="s">
        <v>228</v>
      </c>
      <c r="C7" s="8" t="s">
        <v>228</v>
      </c>
      <c r="D7" s="8" t="s">
        <v>229</v>
      </c>
      <c r="E7" s="27" t="s">
        <v>73</v>
      </c>
    </row>
    <row r="8" customFormat="false" ht="15" hidden="false" customHeight="false" outlineLevel="0" collapsed="false">
      <c r="A8" s="17" t="s">
        <v>230</v>
      </c>
      <c r="B8" s="5" t="s">
        <v>231</v>
      </c>
      <c r="C8" s="5" t="s">
        <v>232</v>
      </c>
      <c r="D8" s="5" t="s">
        <v>233</v>
      </c>
      <c r="E8" s="4" t="s">
        <v>163</v>
      </c>
    </row>
    <row r="9" customFormat="false" ht="15" hidden="false" customHeight="false" outlineLevel="0" collapsed="false">
      <c r="A9" s="18" t="s">
        <v>234</v>
      </c>
      <c r="B9" s="8" t="s">
        <v>68</v>
      </c>
      <c r="C9" s="8" t="s">
        <v>235</v>
      </c>
      <c r="D9" s="8" t="s">
        <v>236</v>
      </c>
      <c r="E9" s="7" t="s">
        <v>163</v>
      </c>
    </row>
    <row r="10" customFormat="false" ht="15" hidden="false" customHeight="false" outlineLevel="0" collapsed="false">
      <c r="A10" s="17" t="s">
        <v>237</v>
      </c>
      <c r="B10" s="5" t="s">
        <v>238</v>
      </c>
      <c r="C10" s="5" t="s">
        <v>239</v>
      </c>
      <c r="D10" s="5" t="s">
        <v>240</v>
      </c>
      <c r="E10" s="38" t="s">
        <v>241</v>
      </c>
    </row>
    <row r="11" customFormat="false" ht="15" hidden="false" customHeight="false" outlineLevel="0" collapsed="false">
      <c r="A11" s="18" t="s">
        <v>242</v>
      </c>
      <c r="B11" s="8" t="s">
        <v>243</v>
      </c>
      <c r="C11" s="8" t="s">
        <v>228</v>
      </c>
      <c r="D11" s="8" t="s">
        <v>228</v>
      </c>
      <c r="E11" s="39" t="s">
        <v>241</v>
      </c>
    </row>
    <row r="12" customFormat="false" ht="15" hidden="false" customHeight="false" outlineLevel="0" collapsed="false">
      <c r="A12" s="17" t="s">
        <v>244</v>
      </c>
      <c r="B12" s="5" t="s">
        <v>245</v>
      </c>
      <c r="C12" s="5" t="s">
        <v>246</v>
      </c>
      <c r="D12" s="5" t="s">
        <v>247</v>
      </c>
      <c r="E12" s="4" t="s">
        <v>163</v>
      </c>
    </row>
    <row r="14" customFormat="false" ht="15" hidden="false" customHeight="false" outlineLevel="0" collapsed="false">
      <c r="A14" s="40" t="s">
        <v>248</v>
      </c>
      <c r="B14" s="40"/>
      <c r="C14" s="40"/>
      <c r="D14" s="40"/>
      <c r="E14" s="40"/>
    </row>
    <row r="15" customFormat="false" ht="45" hidden="false" customHeight="true" outlineLevel="0" collapsed="false">
      <c r="A15" s="22" t="s">
        <v>249</v>
      </c>
      <c r="B15" s="22"/>
      <c r="C15" s="22"/>
      <c r="D15" s="22"/>
      <c r="E15" s="22"/>
    </row>
  </sheetData>
  <mergeCells count="3">
    <mergeCell ref="A1:E1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0"/>
  </cols>
  <sheetData>
    <row r="1" customFormat="false" ht="36" hidden="false" customHeight="true" outlineLevel="0" collapsed="false">
      <c r="A1" s="1" t="s">
        <v>250</v>
      </c>
      <c r="B1" s="1"/>
      <c r="C1" s="1"/>
      <c r="D1" s="1"/>
      <c r="E1" s="1"/>
      <c r="F1" s="1"/>
      <c r="G1" s="1"/>
    </row>
    <row r="2" customFormat="false" ht="24.75" hidden="false" customHeight="true" outlineLevel="0" collapsed="false">
      <c r="A2" s="13" t="s">
        <v>251</v>
      </c>
      <c r="B2" s="13"/>
      <c r="C2" s="13"/>
      <c r="D2" s="13"/>
      <c r="E2" s="13"/>
      <c r="F2" s="13"/>
      <c r="G2" s="13"/>
    </row>
    <row r="4" customFormat="false" ht="15" hidden="false" customHeight="false" outlineLevel="0" collapsed="false">
      <c r="A4" s="3" t="s">
        <v>252</v>
      </c>
      <c r="B4" s="3" t="s">
        <v>253</v>
      </c>
      <c r="C4" s="3" t="s">
        <v>254</v>
      </c>
      <c r="D4" s="3" t="s">
        <v>255</v>
      </c>
      <c r="E4" s="3" t="s">
        <v>256</v>
      </c>
      <c r="F4" s="3" t="s">
        <v>257</v>
      </c>
      <c r="G4" s="3" t="s">
        <v>258</v>
      </c>
    </row>
    <row r="5" customFormat="false" ht="23.85" hidden="false" customHeight="false" outlineLevel="0" collapsed="false">
      <c r="A5" s="5" t="n">
        <v>1</v>
      </c>
      <c r="B5" s="17" t="s">
        <v>259</v>
      </c>
      <c r="C5" s="20" t="s">
        <v>260</v>
      </c>
      <c r="D5" s="5" t="s">
        <v>261</v>
      </c>
      <c r="E5" s="5"/>
      <c r="F5" s="5"/>
      <c r="G5" s="4" t="s">
        <v>163</v>
      </c>
    </row>
    <row r="6" customFormat="false" ht="23.85" hidden="false" customHeight="false" outlineLevel="0" collapsed="false">
      <c r="A6" s="8" t="n">
        <v>2</v>
      </c>
      <c r="B6" s="18" t="s">
        <v>262</v>
      </c>
      <c r="C6" s="22" t="s">
        <v>263</v>
      </c>
      <c r="D6" s="8" t="s">
        <v>261</v>
      </c>
      <c r="E6" s="8"/>
      <c r="F6" s="8"/>
      <c r="G6" s="7" t="s">
        <v>163</v>
      </c>
    </row>
    <row r="7" customFormat="false" ht="23.85" hidden="false" customHeight="false" outlineLevel="0" collapsed="false">
      <c r="A7" s="5" t="n">
        <v>3</v>
      </c>
      <c r="B7" s="17" t="s">
        <v>264</v>
      </c>
      <c r="C7" s="20" t="s">
        <v>265</v>
      </c>
      <c r="D7" s="5" t="s">
        <v>266</v>
      </c>
      <c r="E7" s="5"/>
      <c r="F7" s="5"/>
      <c r="G7" s="4" t="s">
        <v>163</v>
      </c>
    </row>
    <row r="8" customFormat="false" ht="23.85" hidden="false" customHeight="false" outlineLevel="0" collapsed="false">
      <c r="A8" s="8" t="n">
        <v>4</v>
      </c>
      <c r="B8" s="18" t="s">
        <v>267</v>
      </c>
      <c r="C8" s="22" t="s">
        <v>268</v>
      </c>
      <c r="D8" s="8" t="s">
        <v>266</v>
      </c>
      <c r="E8" s="8"/>
      <c r="F8" s="8"/>
      <c r="G8" s="7" t="s">
        <v>163</v>
      </c>
    </row>
    <row r="9" customFormat="false" ht="23.85" hidden="false" customHeight="false" outlineLevel="0" collapsed="false">
      <c r="A9" s="5" t="n">
        <v>5</v>
      </c>
      <c r="B9" s="17" t="s">
        <v>269</v>
      </c>
      <c r="C9" s="20" t="s">
        <v>270</v>
      </c>
      <c r="D9" s="5" t="s">
        <v>271</v>
      </c>
      <c r="E9" s="5"/>
      <c r="F9" s="5"/>
      <c r="G9" s="38" t="s">
        <v>241</v>
      </c>
    </row>
    <row r="10" customFormat="false" ht="23.85" hidden="false" customHeight="false" outlineLevel="0" collapsed="false">
      <c r="A10" s="11" t="n">
        <v>6</v>
      </c>
      <c r="B10" s="41" t="s">
        <v>272</v>
      </c>
      <c r="C10" s="42" t="s">
        <v>273</v>
      </c>
      <c r="D10" s="27" t="s">
        <v>274</v>
      </c>
      <c r="E10" s="11"/>
      <c r="F10" s="11"/>
      <c r="G10" s="27" t="s">
        <v>73</v>
      </c>
    </row>
    <row r="11" customFormat="false" ht="23.85" hidden="false" customHeight="false" outlineLevel="0" collapsed="false">
      <c r="A11" s="11" t="n">
        <v>7</v>
      </c>
      <c r="B11" s="41" t="s">
        <v>275</v>
      </c>
      <c r="C11" s="42" t="s">
        <v>276</v>
      </c>
      <c r="D11" s="27" t="s">
        <v>274</v>
      </c>
      <c r="E11" s="11"/>
      <c r="F11" s="11"/>
      <c r="G11" s="27" t="s">
        <v>73</v>
      </c>
    </row>
    <row r="12" customFormat="false" ht="15" hidden="false" customHeight="false" outlineLevel="0" collapsed="false">
      <c r="A12" s="8" t="n">
        <v>8</v>
      </c>
      <c r="B12" s="18" t="s">
        <v>277</v>
      </c>
      <c r="C12" s="22" t="s">
        <v>278</v>
      </c>
      <c r="D12" s="8" t="s">
        <v>279</v>
      </c>
      <c r="E12" s="8"/>
      <c r="F12" s="8"/>
      <c r="G12" s="7" t="s">
        <v>163</v>
      </c>
    </row>
    <row r="13" customFormat="false" ht="23.85" hidden="false" customHeight="false" outlineLevel="0" collapsed="false">
      <c r="A13" s="5" t="n">
        <v>9</v>
      </c>
      <c r="B13" s="17" t="s">
        <v>280</v>
      </c>
      <c r="C13" s="20" t="s">
        <v>281</v>
      </c>
      <c r="D13" s="5" t="s">
        <v>279</v>
      </c>
      <c r="E13" s="5"/>
      <c r="F13" s="5"/>
      <c r="G13" s="4" t="s">
        <v>163</v>
      </c>
    </row>
    <row r="14" customFormat="false" ht="23.85" hidden="false" customHeight="false" outlineLevel="0" collapsed="false">
      <c r="A14" s="8" t="n">
        <v>10</v>
      </c>
      <c r="B14" s="18" t="s">
        <v>282</v>
      </c>
      <c r="C14" s="22" t="s">
        <v>283</v>
      </c>
      <c r="D14" s="8" t="s">
        <v>279</v>
      </c>
      <c r="E14" s="8"/>
      <c r="F14" s="8"/>
      <c r="G14" s="7" t="s">
        <v>163</v>
      </c>
    </row>
    <row r="15" customFormat="false" ht="23.85" hidden="false" customHeight="false" outlineLevel="0" collapsed="false">
      <c r="A15" s="5" t="n">
        <v>11</v>
      </c>
      <c r="B15" s="17" t="s">
        <v>284</v>
      </c>
      <c r="C15" s="20" t="s">
        <v>285</v>
      </c>
      <c r="D15" s="5" t="s">
        <v>279</v>
      </c>
      <c r="E15" s="5"/>
      <c r="F15" s="5"/>
      <c r="G15" s="27" t="s">
        <v>73</v>
      </c>
    </row>
    <row r="16" customFormat="false" ht="23.85" hidden="false" customHeight="false" outlineLevel="0" collapsed="false">
      <c r="A16" s="8" t="n">
        <v>12</v>
      </c>
      <c r="B16" s="18" t="s">
        <v>286</v>
      </c>
      <c r="C16" s="22" t="s">
        <v>287</v>
      </c>
      <c r="D16" s="8" t="s">
        <v>288</v>
      </c>
      <c r="E16" s="8"/>
      <c r="F16" s="8"/>
      <c r="G16" s="39" t="s">
        <v>241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2026-03-13T06:49:59Z</dcterms:created>
  <dc:creator>openpyxl</dc:creator>
  <dc:description/>
  <dc:language>en-US</dc:language>
  <cp:lastModifiedBy/>
  <dcterms:modified xsi:type="dcterms:W3CDTF">2026-03-13T06:49:59Z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